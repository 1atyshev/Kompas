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6" sheetId="1" state="visible" r:id="rId1"/>
    <sheet name="Еженедельник" sheetId="2" state="visible" r:id="rId2"/>
    <sheet name="Ежемесячни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"/>
  </numFmts>
  <fonts count="24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  <sz val="11"/>
      <scheme val="minor"/>
    </font>
    <font>
      <name val="Arial"/>
      <b val="1"/>
      <color theme="1"/>
      <scheme val="minor"/>
    </font>
    <font>
      <name val="Arial"/>
      <b val="1"/>
      <color theme="1"/>
      <sz val="11"/>
      <scheme val="minor"/>
    </font>
    <font/>
    <font>
      <name val="Arial"/>
      <b val="1"/>
      <color theme="1"/>
      <sz val="12"/>
      <scheme val="minor"/>
    </font>
    <font>
      <name val="Arial"/>
      <color theme="1"/>
      <sz val="9"/>
      <scheme val="minor"/>
    </font>
    <font>
      <name val="Arial"/>
      <b val="1"/>
      <color theme="1"/>
      <sz val="10"/>
      <scheme val="minor"/>
    </font>
    <font>
      <name val="Arial"/>
      <b val="1"/>
      <color theme="1"/>
      <sz val="14"/>
      <scheme val="minor"/>
    </font>
    <font>
      <name val="Arial"/>
      <b val="1"/>
      <i val="1"/>
      <color rgb="FF3D85C6"/>
      <sz val="22"/>
      <scheme val="minor"/>
    </font>
    <font>
      <name val="Arial"/>
      <b val="1"/>
      <i val="1"/>
      <color rgb="FF6AA84F"/>
      <sz val="22"/>
      <scheme val="minor"/>
    </font>
    <font>
      <name val="Arial"/>
      <b val="1"/>
      <i val="1"/>
      <color rgb="FFA64D79"/>
      <sz val="22"/>
      <scheme val="minor"/>
    </font>
    <font>
      <name val="Arial"/>
      <b val="1"/>
      <i val="1"/>
      <color rgb="FF674EA7"/>
      <sz val="22"/>
      <scheme val="minor"/>
    </font>
    <font>
      <name val="Arial"/>
      <b val="1"/>
      <i val="1"/>
      <color rgb="FFE69138"/>
      <sz val="22"/>
      <scheme val="minor"/>
    </font>
    <font>
      <name val="Arial"/>
      <b val="1"/>
      <i val="1"/>
      <color rgb="FFCC0000"/>
      <sz val="22"/>
      <scheme val="minor"/>
    </font>
    <font>
      <name val="Arial"/>
      <b val="1"/>
      <i val="1"/>
      <color rgb="FFF1C232"/>
      <sz val="22"/>
      <scheme val="minor"/>
    </font>
    <font>
      <name val="Arial"/>
      <color rgb="FF45818E"/>
      <scheme val="minor"/>
    </font>
    <font>
      <name val="Arial"/>
      <b val="1"/>
      <color rgb="FF134F5C"/>
      <sz val="16"/>
      <scheme val="minor"/>
    </font>
    <font>
      <name val="Arial"/>
      <b val="1"/>
      <i val="1"/>
      <color rgb="FF134F5C"/>
      <sz val="21"/>
      <scheme val="minor"/>
    </font>
    <font>
      <name val="Arial"/>
      <color rgb="FFFFFFFF"/>
      <sz val="11"/>
      <scheme val="minor"/>
    </font>
    <font>
      <name val="Arial"/>
      <b val="1"/>
      <color rgb="FF134F5C"/>
      <sz val="11"/>
      <scheme val="minor"/>
    </font>
    <font>
      <b val="1"/>
      <sz val="14"/>
    </font>
    <font>
      <b val="1"/>
    </font>
  </fonts>
  <fills count="19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00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3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14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4" applyAlignment="1" pivotButton="0" quotePrefix="0" xfId="0">
      <alignment horizontal="center" vertical="center"/>
    </xf>
    <xf numFmtId="0" fontId="5" fillId="0" borderId="5" pivotButton="0" quotePrefix="0" xfId="0"/>
    <xf numFmtId="0" fontId="5" fillId="0" borderId="6" pivotButton="0" quotePrefix="0" xfId="0"/>
    <xf numFmtId="0" fontId="7" fillId="2" borderId="7" applyAlignment="1" pivotButton="0" quotePrefix="0" xfId="0">
      <alignment horizontal="center" vertical="center" wrapText="1"/>
    </xf>
    <xf numFmtId="0" fontId="5" fillId="0" borderId="8" pivotButton="0" quotePrefix="0" xfId="0"/>
    <xf numFmtId="164" fontId="6" fillId="10" borderId="7" applyAlignment="1" pivotButton="0" quotePrefix="0" xfId="0">
      <alignment horizontal="center" vertical="center"/>
    </xf>
    <xf numFmtId="164" fontId="6" fillId="11" borderId="7" applyAlignment="1" pivotButton="0" quotePrefix="0" xfId="0">
      <alignment horizontal="center" vertical="center"/>
    </xf>
    <xf numFmtId="164" fontId="6" fillId="12" borderId="7" applyAlignment="1" pivotButton="0" quotePrefix="0" xfId="0">
      <alignment horizontal="center" vertical="center"/>
    </xf>
    <xf numFmtId="164" fontId="6" fillId="13" borderId="7" applyAlignment="1" pivotButton="0" quotePrefix="0" xfId="0">
      <alignment horizontal="center" vertical="center"/>
    </xf>
    <xf numFmtId="164" fontId="6" fillId="14" borderId="7" applyAlignment="1" pivotButton="0" quotePrefix="0" xfId="0">
      <alignment horizontal="center" vertical="center"/>
    </xf>
    <xf numFmtId="164" fontId="6" fillId="15" borderId="7" applyAlignment="1" pivotButton="0" quotePrefix="0" xfId="0">
      <alignment horizontal="center" vertical="center"/>
    </xf>
    <xf numFmtId="164" fontId="6" fillId="16" borderId="7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164" fontId="9" fillId="14" borderId="9" applyAlignment="1" pivotButton="0" quotePrefix="0" xfId="0">
      <alignment horizontal="center" vertical="center"/>
    </xf>
    <xf numFmtId="0" fontId="5" fillId="0" borderId="10" pivotButton="0" quotePrefix="0" xfId="0"/>
    <xf numFmtId="0" fontId="5" fillId="0" borderId="11" pivotButton="0" quotePrefix="0" xfId="0"/>
    <xf numFmtId="9" fontId="10" fillId="0" borderId="7" applyAlignment="1" pivotButton="0" quotePrefix="0" xfId="0">
      <alignment horizontal="center" vertical="center"/>
    </xf>
    <xf numFmtId="9" fontId="11" fillId="0" borderId="7" applyAlignment="1" pivotButton="0" quotePrefix="0" xfId="0">
      <alignment horizontal="center" vertical="center"/>
    </xf>
    <xf numFmtId="9" fontId="12" fillId="0" borderId="7" applyAlignment="1" pivotButton="0" quotePrefix="0" xfId="0">
      <alignment horizontal="center" vertical="center"/>
    </xf>
    <xf numFmtId="9" fontId="13" fillId="0" borderId="7" applyAlignment="1" pivotButton="0" quotePrefix="0" xfId="0">
      <alignment horizontal="center" vertical="center"/>
    </xf>
    <xf numFmtId="9" fontId="14" fillId="0" borderId="7" applyAlignment="1" pivotButton="0" quotePrefix="0" xfId="0">
      <alignment horizontal="center" vertical="center"/>
    </xf>
    <xf numFmtId="9" fontId="15" fillId="0" borderId="7" applyAlignment="1" pivotButton="0" quotePrefix="0" xfId="0">
      <alignment horizontal="center" vertical="center"/>
    </xf>
    <xf numFmtId="9" fontId="16" fillId="0" borderId="7" applyAlignment="1" pivotButton="0" quotePrefix="0" xfId="0">
      <alignment horizontal="center" vertical="center"/>
    </xf>
    <xf numFmtId="0" fontId="1" fillId="9" borderId="1" pivotButton="0" quotePrefix="0" xfId="0"/>
    <xf numFmtId="0" fontId="17" fillId="9" borderId="0" pivotButton="0" quotePrefix="0" xfId="0"/>
    <xf numFmtId="0" fontId="17" fillId="9" borderId="0" pivotButton="0" quotePrefix="0" xfId="0"/>
    <xf numFmtId="0" fontId="17" fillId="9" borderId="8" pivotButton="0" quotePrefix="0" xfId="0"/>
    <xf numFmtId="0" fontId="5" fillId="0" borderId="7" pivotButton="0" quotePrefix="0" xfId="0"/>
    <xf numFmtId="0" fontId="1" fillId="9" borderId="7" pivotButton="0" quotePrefix="0" xfId="0"/>
    <xf numFmtId="0" fontId="4" fillId="11" borderId="4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165" fontId="2" fillId="4" borderId="7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165" fontId="2" fillId="4" borderId="8" applyAlignment="1" pivotButton="0" quotePrefix="0" xfId="0">
      <alignment horizontal="center" vertical="center"/>
    </xf>
    <xf numFmtId="0" fontId="5" fillId="0" borderId="9" pivotButton="0" quotePrefix="0" xfId="0"/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3" fillId="12" borderId="1" applyAlignment="1" pivotButton="0" quotePrefix="0" xfId="0">
      <alignment horizontal="center"/>
    </xf>
    <xf numFmtId="0" fontId="3" fillId="13" borderId="1" applyAlignment="1" pivotButton="0" quotePrefix="0" xfId="0">
      <alignment horizontal="center"/>
    </xf>
    <xf numFmtId="0" fontId="3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/>
    </xf>
    <xf numFmtId="0" fontId="3" fillId="16" borderId="1" applyAlignment="1" pivotButton="0" quotePrefix="0" xfId="0">
      <alignment horizontal="center"/>
    </xf>
    <xf numFmtId="0" fontId="1" fillId="3" borderId="9" applyAlignment="1" pivotButton="0" quotePrefix="0" xfId="0">
      <alignment horizontal="center"/>
    </xf>
    <xf numFmtId="0" fontId="1" fillId="4" borderId="9" applyAlignment="1" pivotButton="0" quotePrefix="0" xfId="0">
      <alignment horizontal="center"/>
    </xf>
    <xf numFmtId="0" fontId="1" fillId="5" borderId="9" applyAlignment="1" pivotButton="0" quotePrefix="0" xfId="0">
      <alignment horizontal="center"/>
    </xf>
    <xf numFmtId="0" fontId="1" fillId="6" borderId="9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7" borderId="9" applyAlignment="1" pivotButton="0" quotePrefix="0" xfId="0">
      <alignment horizontal="center"/>
    </xf>
    <xf numFmtId="0" fontId="1" fillId="8" borderId="9" applyAlignment="1" pivotButton="0" quotePrefix="0" xfId="0">
      <alignment horizontal="center"/>
    </xf>
    <xf numFmtId="0" fontId="1" fillId="0" borderId="1" applyAlignment="1" pivotButton="0" quotePrefix="0" xfId="0">
      <alignment vertical="center"/>
    </xf>
    <xf numFmtId="0" fontId="1" fillId="0" borderId="3" applyAlignment="1" pivotButton="0" quotePrefix="0" xfId="0">
      <alignment horizontal="right" vertical="center"/>
    </xf>
    <xf numFmtId="165" fontId="2" fillId="4" borderId="9" applyAlignment="1" pivotButton="0" quotePrefix="0" xfId="0">
      <alignment horizontal="center" vertical="center"/>
    </xf>
    <xf numFmtId="165" fontId="2" fillId="4" borderId="10" applyAlignment="1" pivotButton="0" quotePrefix="0" xfId="0">
      <alignment horizontal="center" vertical="center"/>
    </xf>
    <xf numFmtId="165" fontId="2" fillId="4" borderId="11" applyAlignment="1" pivotButton="0" quotePrefix="0" xfId="0">
      <alignment horizontal="center"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horizontal="right" vertical="center"/>
    </xf>
    <xf numFmtId="0" fontId="1" fillId="0" borderId="9" applyAlignment="1" pivotButton="0" quotePrefix="0" xfId="0">
      <alignment vertical="center"/>
    </xf>
    <xf numFmtId="0" fontId="1" fillId="0" borderId="11" applyAlignment="1" pivotButton="0" quotePrefix="0" xfId="0">
      <alignment horizontal="right" vertical="center"/>
    </xf>
    <xf numFmtId="0" fontId="1" fillId="9" borderId="9" pivotButton="0" quotePrefix="0" xfId="0"/>
    <xf numFmtId="0" fontId="3" fillId="10" borderId="4" applyAlignment="1" pivotButton="0" quotePrefix="0" xfId="0">
      <alignment horizontal="center"/>
    </xf>
    <xf numFmtId="0" fontId="3" fillId="11" borderId="4" applyAlignment="1" pivotButton="0" quotePrefix="0" xfId="0">
      <alignment horizontal="center"/>
    </xf>
    <xf numFmtId="0" fontId="3" fillId="12" borderId="4" applyAlignment="1" pivotButton="0" quotePrefix="0" xfId="0">
      <alignment horizontal="center"/>
    </xf>
    <xf numFmtId="0" fontId="3" fillId="13" borderId="4" applyAlignment="1" pivotButton="0" quotePrefix="0" xfId="0">
      <alignment horizontal="center"/>
    </xf>
    <xf numFmtId="0" fontId="3" fillId="14" borderId="4" applyAlignment="1" pivotButton="0" quotePrefix="0" xfId="0">
      <alignment horizontal="center"/>
    </xf>
    <xf numFmtId="0" fontId="3" fillId="15" borderId="4" applyAlignment="1" pivotButton="0" quotePrefix="0" xfId="0">
      <alignment horizontal="center"/>
    </xf>
    <xf numFmtId="0" fontId="3" fillId="16" borderId="4" applyAlignment="1" pivotButton="0" quotePrefix="0" xfId="0">
      <alignment horizontal="center"/>
    </xf>
    <xf numFmtId="0" fontId="17" fillId="9" borderId="1" applyAlignment="1" pivotButton="0" quotePrefix="0" xfId="0">
      <alignment textRotation="135"/>
    </xf>
    <xf numFmtId="0" fontId="17" fillId="9" borderId="2" applyAlignment="1" pivotButton="0" quotePrefix="0" xfId="0">
      <alignment textRotation="135"/>
    </xf>
    <xf numFmtId="0" fontId="17" fillId="9" borderId="3" applyAlignment="1" pivotButton="0" quotePrefix="0" xfId="0">
      <alignment textRotation="135"/>
    </xf>
    <xf numFmtId="0" fontId="18" fillId="0" borderId="0" applyAlignment="1" pivotButton="0" quotePrefix="0" xfId="0">
      <alignment horizontal="center" vertical="center"/>
    </xf>
    <xf numFmtId="0" fontId="1" fillId="3" borderId="7" pivotButton="0" quotePrefix="0" xfId="0"/>
    <xf numFmtId="0" fontId="1" fillId="3" borderId="0" pivotButton="0" quotePrefix="0" xfId="0"/>
    <xf numFmtId="0" fontId="1" fillId="4" borderId="7" pivotButton="0" quotePrefix="0" xfId="0"/>
    <xf numFmtId="0" fontId="1" fillId="4" borderId="0" pivotButton="0" quotePrefix="0" xfId="0"/>
    <xf numFmtId="0" fontId="1" fillId="5" borderId="7" pivotButton="0" quotePrefix="0" xfId="0"/>
    <xf numFmtId="0" fontId="1" fillId="5" borderId="0" pivotButton="0" quotePrefix="0" xfId="0"/>
    <xf numFmtId="0" fontId="1" fillId="6" borderId="7" pivotButton="0" quotePrefix="0" xfId="0"/>
    <xf numFmtId="0" fontId="1" fillId="6" borderId="0" pivotButton="0" quotePrefix="0" xfId="0"/>
    <xf numFmtId="0" fontId="1" fillId="2" borderId="7" pivotButton="0" quotePrefix="0" xfId="0"/>
    <xf numFmtId="0" fontId="1" fillId="2" borderId="0" pivotButton="0" quotePrefix="0" xfId="0"/>
    <xf numFmtId="0" fontId="1" fillId="7" borderId="7" pivotButton="0" quotePrefix="0" xfId="0"/>
    <xf numFmtId="0" fontId="1" fillId="7" borderId="0" pivotButton="0" quotePrefix="0" xfId="0"/>
    <xf numFmtId="0" fontId="1" fillId="8" borderId="7" pivotButton="0" quotePrefix="0" xfId="0"/>
    <xf numFmtId="0" fontId="1" fillId="8" borderId="0" pivotButton="0" quotePrefix="0" xfId="0"/>
    <xf numFmtId="0" fontId="1" fillId="4" borderId="7" pivotButton="0" quotePrefix="0" xfId="0"/>
    <xf numFmtId="0" fontId="1" fillId="6" borderId="7" pivotButton="0" quotePrefix="0" xfId="0"/>
    <xf numFmtId="0" fontId="1" fillId="2" borderId="7" pivotButton="0" quotePrefix="0" xfId="0"/>
    <xf numFmtId="9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1" fillId="7" borderId="7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2" borderId="0" pivotButton="0" quotePrefix="0" xfId="0"/>
    <xf numFmtId="0" fontId="1" fillId="7" borderId="0" pivotButton="0" quotePrefix="0" xfId="0"/>
    <xf numFmtId="0" fontId="1" fillId="8" borderId="7" pivotButton="0" quotePrefix="0" xfId="0"/>
    <xf numFmtId="0" fontId="1" fillId="8" borderId="0" pivotButton="0" quotePrefix="0" xfId="0"/>
    <xf numFmtId="0" fontId="1" fillId="5" borderId="7" pivotButton="0" quotePrefix="0" xfId="0"/>
    <xf numFmtId="0" fontId="21" fillId="17" borderId="4" applyAlignment="1" pivotButton="0" quotePrefix="0" xfId="0">
      <alignment horizontal="center" vertical="center"/>
    </xf>
    <xf numFmtId="0" fontId="1" fillId="3" borderId="0" pivotButton="0" quotePrefix="0" xfId="0"/>
    <xf numFmtId="0" fontId="2" fillId="9" borderId="7" applyAlignment="1" pivotButton="0" quotePrefix="0" xfId="0">
      <alignment vertical="center"/>
    </xf>
    <xf numFmtId="0" fontId="2" fillId="9" borderId="8" applyAlignment="1" pivotButton="0" quotePrefix="0" xfId="0">
      <alignment vertical="center"/>
    </xf>
    <xf numFmtId="0" fontId="2" fillId="9" borderId="7" applyAlignment="1" pivotButton="0" quotePrefix="0" xfId="0">
      <alignment vertical="center"/>
    </xf>
    <xf numFmtId="0" fontId="2" fillId="9" borderId="8" applyAlignment="1" pivotButton="0" quotePrefix="0" xfId="0">
      <alignment vertical="center"/>
    </xf>
    <xf numFmtId="0" fontId="1" fillId="3" borderId="9" pivotButton="0" quotePrefix="0" xfId="0"/>
    <xf numFmtId="0" fontId="1" fillId="3" borderId="10" pivotButton="0" quotePrefix="0" xfId="0"/>
    <xf numFmtId="0" fontId="1" fillId="4" borderId="9" pivotButton="0" quotePrefix="0" xfId="0"/>
    <xf numFmtId="0" fontId="1" fillId="4" borderId="10" pivotButton="0" quotePrefix="0" xfId="0"/>
    <xf numFmtId="0" fontId="1" fillId="5" borderId="9" pivotButton="0" quotePrefix="0" xfId="0"/>
    <xf numFmtId="0" fontId="1" fillId="5" borderId="10" pivotButton="0" quotePrefix="0" xfId="0"/>
    <xf numFmtId="0" fontId="1" fillId="6" borderId="9" pivotButton="0" quotePrefix="0" xfId="0"/>
    <xf numFmtId="0" fontId="1" fillId="6" borderId="10" pivotButton="0" quotePrefix="0" xfId="0"/>
    <xf numFmtId="0" fontId="1" fillId="2" borderId="9" pivotButton="0" quotePrefix="0" xfId="0"/>
    <xf numFmtId="0" fontId="1" fillId="2" borderId="10" pivotButton="0" quotePrefix="0" xfId="0"/>
    <xf numFmtId="0" fontId="1" fillId="7" borderId="9" pivotButton="0" quotePrefix="0" xfId="0"/>
    <xf numFmtId="0" fontId="1" fillId="7" borderId="10" pivotButton="0" quotePrefix="0" xfId="0"/>
    <xf numFmtId="0" fontId="1" fillId="8" borderId="9" pivotButton="0" quotePrefix="0" xfId="0"/>
    <xf numFmtId="0" fontId="1" fillId="8" borderId="10" pivotButton="0" quotePrefix="0" xfId="0"/>
    <xf numFmtId="0" fontId="1" fillId="3" borderId="4" pivotButton="0" quotePrefix="0" xfId="0"/>
    <xf numFmtId="0" fontId="1" fillId="4" borderId="4" pivotButton="0" quotePrefix="0" xfId="0"/>
    <xf numFmtId="0" fontId="1" fillId="5" borderId="4" pivotButton="0" quotePrefix="0" xfId="0"/>
    <xf numFmtId="0" fontId="1" fillId="6" borderId="4" pivotButton="0" quotePrefix="0" xfId="0"/>
    <xf numFmtId="0" fontId="1" fillId="2" borderId="4" pivotButton="0" quotePrefix="0" xfId="0"/>
    <xf numFmtId="0" fontId="1" fillId="7" borderId="4" pivotButton="0" quotePrefix="0" xfId="0"/>
    <xf numFmtId="0" fontId="1" fillId="8" borderId="4" pivotButton="0" quotePrefix="0" xfId="0"/>
    <xf numFmtId="0" fontId="2" fillId="9" borderId="9" applyAlignment="1" pivotButton="0" quotePrefix="0" xfId="0">
      <alignment vertical="center"/>
    </xf>
    <xf numFmtId="0" fontId="2" fillId="9" borderId="11" applyAlignment="1" pivotButton="0" quotePrefix="0" xfId="0">
      <alignment vertical="center"/>
    </xf>
    <xf numFmtId="9" fontId="1" fillId="9" borderId="9" applyAlignment="1" pivotButton="0" quotePrefix="0" xfId="0">
      <alignment horizontal="center"/>
    </xf>
    <xf numFmtId="9" fontId="1" fillId="9" borderId="10" applyAlignment="1" pivotButton="0" quotePrefix="0" xfId="0">
      <alignment horizontal="center"/>
    </xf>
    <xf numFmtId="9" fontId="1" fillId="9" borderId="11" applyAlignment="1" pivotButton="0" quotePrefix="0" xfId="0">
      <alignment horizontal="center"/>
    </xf>
    <xf numFmtId="0" fontId="0" fillId="0" borderId="0" pivotButton="0" quotePrefix="0" xfId="0"/>
    <xf numFmtId="0" fontId="4" fillId="2" borderId="1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6" fillId="3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6" fillId="6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9" borderId="1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2" borderId="12" applyAlignment="1" pivotButton="0" quotePrefix="0" xfId="0">
      <alignment horizontal="center" vertical="center" wrapText="1"/>
    </xf>
    <xf numFmtId="0" fontId="0" fillId="0" borderId="8" pivotButton="0" quotePrefix="0" xfId="0"/>
    <xf numFmtId="164" fontId="6" fillId="10" borderId="12" applyAlignment="1" pivotButton="0" quotePrefix="0" xfId="0">
      <alignment horizontal="center" vertical="center"/>
    </xf>
    <xf numFmtId="164" fontId="6" fillId="11" borderId="12" applyAlignment="1" pivotButton="0" quotePrefix="0" xfId="0">
      <alignment horizontal="center" vertical="center"/>
    </xf>
    <xf numFmtId="164" fontId="6" fillId="12" borderId="12" applyAlignment="1" pivotButton="0" quotePrefix="0" xfId="0">
      <alignment horizontal="center" vertical="center"/>
    </xf>
    <xf numFmtId="164" fontId="6" fillId="13" borderId="12" applyAlignment="1" pivotButton="0" quotePrefix="0" xfId="0">
      <alignment horizontal="center" vertical="center"/>
    </xf>
    <xf numFmtId="164" fontId="6" fillId="14" borderId="12" applyAlignment="1" pivotButton="0" quotePrefix="0" xfId="0">
      <alignment horizontal="center" vertical="center"/>
    </xf>
    <xf numFmtId="164" fontId="6" fillId="15" borderId="12" applyAlignment="1" pivotButton="0" quotePrefix="0" xfId="0">
      <alignment horizontal="center" vertical="center"/>
    </xf>
    <xf numFmtId="164" fontId="6" fillId="16" borderId="12" applyAlignment="1" pivotButton="0" quotePrefix="0" xfId="0">
      <alignment horizontal="center" vertical="center"/>
    </xf>
    <xf numFmtId="164" fontId="9" fillId="14" borderId="1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9" fontId="10" fillId="0" borderId="15" applyAlignment="1" pivotButton="0" quotePrefix="0" xfId="0">
      <alignment horizontal="center" vertical="center"/>
    </xf>
    <xf numFmtId="9" fontId="11" fillId="0" borderId="15" applyAlignment="1" pivotButton="0" quotePrefix="0" xfId="0">
      <alignment horizontal="center" vertical="center"/>
    </xf>
    <xf numFmtId="9" fontId="12" fillId="0" borderId="15" applyAlignment="1" pivotButton="0" quotePrefix="0" xfId="0">
      <alignment horizontal="center" vertical="center"/>
    </xf>
    <xf numFmtId="9" fontId="13" fillId="0" borderId="15" applyAlignment="1" pivotButton="0" quotePrefix="0" xfId="0">
      <alignment horizontal="center" vertical="center"/>
    </xf>
    <xf numFmtId="9" fontId="14" fillId="0" borderId="15" applyAlignment="1" pivotButton="0" quotePrefix="0" xfId="0">
      <alignment horizontal="center" vertical="center"/>
    </xf>
    <xf numFmtId="9" fontId="15" fillId="0" borderId="15" applyAlignment="1" pivotButton="0" quotePrefix="0" xfId="0">
      <alignment horizontal="center" vertical="center"/>
    </xf>
    <xf numFmtId="9" fontId="16" fillId="0" borderId="15" applyAlignment="1" pivotButton="0" quotePrefix="0" xfId="0">
      <alignment horizontal="center" vertical="center"/>
    </xf>
    <xf numFmtId="0" fontId="0" fillId="0" borderId="7" pivotButton="0" quotePrefix="0" xfId="0"/>
    <xf numFmtId="0" fontId="4" fillId="11" borderId="14" applyAlignment="1" pivotButton="0" quotePrefix="0" xfId="0">
      <alignment horizontal="center" vertical="center"/>
    </xf>
    <xf numFmtId="0" fontId="0" fillId="0" borderId="9" pivotButton="0" quotePrefix="0" xfId="0"/>
    <xf numFmtId="0" fontId="3" fillId="10" borderId="13" applyAlignment="1" pivotButton="0" quotePrefix="0" xfId="0">
      <alignment horizontal="center"/>
    </xf>
    <xf numFmtId="0" fontId="3" fillId="11" borderId="13" applyAlignment="1" pivotButton="0" quotePrefix="0" xfId="0">
      <alignment horizontal="center"/>
    </xf>
    <xf numFmtId="0" fontId="3" fillId="12" borderId="13" applyAlignment="1" pivotButton="0" quotePrefix="0" xfId="0">
      <alignment horizontal="center"/>
    </xf>
    <xf numFmtId="0" fontId="3" fillId="13" borderId="13" applyAlignment="1" pivotButton="0" quotePrefix="0" xfId="0">
      <alignment horizontal="center"/>
    </xf>
    <xf numFmtId="0" fontId="3" fillId="14" borderId="13" applyAlignment="1" pivotButton="0" quotePrefix="0" xfId="0">
      <alignment horizontal="center"/>
    </xf>
    <xf numFmtId="0" fontId="3" fillId="15" borderId="13" applyAlignment="1" pivotButton="0" quotePrefix="0" xfId="0">
      <alignment horizontal="center"/>
    </xf>
    <xf numFmtId="0" fontId="3" fillId="16" borderId="13" applyAlignment="1" pivotButton="0" quotePrefix="0" xfId="0">
      <alignment horizontal="center"/>
    </xf>
    <xf numFmtId="0" fontId="1" fillId="3" borderId="15" applyAlignment="1" pivotButton="0" quotePrefix="0" xfId="0">
      <alignment horizontal="center"/>
    </xf>
    <xf numFmtId="0" fontId="1" fillId="4" borderId="15" applyAlignment="1" pivotButton="0" quotePrefix="0" xfId="0">
      <alignment horizontal="center"/>
    </xf>
    <xf numFmtId="0" fontId="1" fillId="5" borderId="15" applyAlignment="1" pivotButton="0" quotePrefix="0" xfId="0">
      <alignment horizontal="center"/>
    </xf>
    <xf numFmtId="0" fontId="1" fillId="6" borderId="15" applyAlignment="1" pivotButton="0" quotePrefix="0" xfId="0">
      <alignment horizontal="center"/>
    </xf>
    <xf numFmtId="0" fontId="1" fillId="2" borderId="15" applyAlignment="1" pivotButton="0" quotePrefix="0" xfId="0">
      <alignment horizontal="center"/>
    </xf>
    <xf numFmtId="0" fontId="1" fillId="7" borderId="15" applyAlignment="1" pivotButton="0" quotePrefix="0" xfId="0">
      <alignment horizontal="center"/>
    </xf>
    <xf numFmtId="0" fontId="1" fillId="8" borderId="15" applyAlignment="1" pivotButton="0" quotePrefix="0" xfId="0">
      <alignment horizontal="center"/>
    </xf>
    <xf numFmtId="0" fontId="3" fillId="10" borderId="14" applyAlignment="1" pivotButton="0" quotePrefix="0" xfId="0">
      <alignment horizontal="center"/>
    </xf>
    <xf numFmtId="0" fontId="3" fillId="11" borderId="14" applyAlignment="1" pivotButton="0" quotePrefix="0" xfId="0">
      <alignment horizontal="center"/>
    </xf>
    <xf numFmtId="0" fontId="3" fillId="12" borderId="14" applyAlignment="1" pivotButton="0" quotePrefix="0" xfId="0">
      <alignment horizontal="center"/>
    </xf>
    <xf numFmtId="0" fontId="3" fillId="13" borderId="14" applyAlignment="1" pivotButton="0" quotePrefix="0" xfId="0">
      <alignment horizontal="center"/>
    </xf>
    <xf numFmtId="0" fontId="3" fillId="14" borderId="14" applyAlignment="1" pivotButton="0" quotePrefix="0" xfId="0">
      <alignment horizontal="center"/>
    </xf>
    <xf numFmtId="0" fontId="3" fillId="15" borderId="14" applyAlignment="1" pivotButton="0" quotePrefix="0" xfId="0">
      <alignment horizontal="center"/>
    </xf>
    <xf numFmtId="0" fontId="3" fillId="16" borderId="14" applyAlignment="1" pivotButton="0" quotePrefix="0" xfId="0">
      <alignment horizontal="center"/>
    </xf>
    <xf numFmtId="0" fontId="1" fillId="3" borderId="8" pivotButton="0" quotePrefix="0" xfId="0"/>
    <xf numFmtId="0" fontId="1" fillId="4" borderId="8" pivotButton="0" quotePrefix="0" xfId="0"/>
    <xf numFmtId="0" fontId="1" fillId="5" borderId="8" pivotButton="0" quotePrefix="0" xfId="0"/>
    <xf numFmtId="0" fontId="1" fillId="6" borderId="8" pivotButton="0" quotePrefix="0" xfId="0"/>
    <xf numFmtId="0" fontId="1" fillId="2" borderId="8" pivotButton="0" quotePrefix="0" xfId="0"/>
    <xf numFmtId="0" fontId="1" fillId="7" borderId="8" pivotButton="0" quotePrefix="0" xfId="0"/>
    <xf numFmtId="0" fontId="1" fillId="8" borderId="8" pivotButton="0" quotePrefix="0" xfId="0"/>
    <xf numFmtId="0" fontId="21" fillId="17" borderId="14" applyAlignment="1" pivotButton="0" quotePrefix="0" xfId="0">
      <alignment horizontal="center" vertical="center"/>
    </xf>
    <xf numFmtId="0" fontId="1" fillId="3" borderId="11" pivotButton="0" quotePrefix="0" xfId="0"/>
    <xf numFmtId="0" fontId="1" fillId="4" borderId="11" pivotButton="0" quotePrefix="0" xfId="0"/>
    <xf numFmtId="0" fontId="1" fillId="5" borderId="11" pivotButton="0" quotePrefix="0" xfId="0"/>
    <xf numFmtId="0" fontId="1" fillId="6" borderId="11" pivotButton="0" quotePrefix="0" xfId="0"/>
    <xf numFmtId="0" fontId="1" fillId="2" borderId="11" pivotButton="0" quotePrefix="0" xfId="0"/>
    <xf numFmtId="0" fontId="1" fillId="7" borderId="11" pivotButton="0" quotePrefix="0" xfId="0"/>
    <xf numFmtId="0" fontId="1" fillId="8" borderId="11" pivotButton="0" quotePrefix="0" xfId="0"/>
    <xf numFmtId="0" fontId="1" fillId="3" borderId="14" pivotButton="0" quotePrefix="0" xfId="0"/>
    <xf numFmtId="0" fontId="1" fillId="4" borderId="14" pivotButton="0" quotePrefix="0" xfId="0"/>
    <xf numFmtId="0" fontId="1" fillId="5" borderId="14" pivotButton="0" quotePrefix="0" xfId="0"/>
    <xf numFmtId="0" fontId="1" fillId="6" borderId="14" pivotButton="0" quotePrefix="0" xfId="0"/>
    <xf numFmtId="0" fontId="1" fillId="2" borderId="14" pivotButton="0" quotePrefix="0" xfId="0"/>
    <xf numFmtId="0" fontId="1" fillId="7" borderId="14" pivotButton="0" quotePrefix="0" xfId="0"/>
    <xf numFmtId="0" fontId="1" fillId="8" borderId="14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3" fillId="1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dxfs count="11">
    <dxf>
      <font>
        <color rgb="FF93C47D"/>
      </font>
      <fill>
        <patternFill/>
      </fill>
      <border/>
    </dxf>
    <dxf>
      <font>
        <b val="1"/>
      </font>
      <fill>
        <patternFill patternType="solid">
          <fgColor rgb="FF93C47D"/>
          <bgColor rgb="FF93C47D"/>
        </patternFill>
      </fill>
      <border/>
    </dxf>
    <dxf>
      <font>
        <color rgb="FF000000"/>
        <u val="single"/>
      </font>
      <fill>
        <patternFill/>
      </fill>
      <border/>
    </dxf>
    <dxf>
      <font>
        <i val="1"/>
        <strike val="1"/>
        <color rgb="FF3D85C6"/>
      </font>
      <fill>
        <patternFill/>
      </fill>
      <border/>
    </dxf>
    <dxf>
      <font>
        <i val="1"/>
        <strike val="1"/>
        <color rgb="FF6AA84F"/>
      </font>
      <fill>
        <patternFill/>
      </fill>
      <border/>
    </dxf>
    <dxf>
      <font>
        <i val="1"/>
        <strike val="1"/>
        <color rgb="FFA64D79"/>
      </font>
      <fill>
        <patternFill/>
      </fill>
      <border/>
    </dxf>
    <dxf>
      <font>
        <i val="1"/>
        <strike val="1"/>
        <color rgb="FF674EA7"/>
      </font>
      <fill>
        <patternFill/>
      </fill>
      <border/>
    </dxf>
    <dxf>
      <font>
        <i val="1"/>
        <strike val="1"/>
        <color rgb="FFE69138"/>
      </font>
      <fill>
        <patternFill/>
      </fill>
      <border/>
    </dxf>
    <dxf>
      <font>
        <i val="1"/>
        <strike val="1"/>
        <color rgb="FFCC0000"/>
      </font>
      <fill>
        <patternFill/>
      </fill>
      <border/>
    </dxf>
    <dxf>
      <font>
        <i val="1"/>
        <strike val="1"/>
        <color rgb="FFF1C232"/>
      </font>
      <fill>
        <patternFill/>
      </fill>
      <border/>
    </dxf>
    <dxf>
      <font>
        <i val="1"/>
        <strike val="1"/>
        <color rgb="FF45818E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explosion val="0"/>
            <spPr>
              <a:solidFill>
                <a:srgbClr val="3D85C6"/>
              </a:solidFill>
              <a:ln>
                <a:prstDash val="solid"/>
              </a:ln>
            </spPr>
          </dPt>
          <dPt>
            <idx val="1"/>
            <spPr>
              <a:solidFill>
                <a:srgbClr val="CFE2F3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'Еженедельник'!$L$13:$L$14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75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AA84F"/>
              </a:solidFill>
              <a:ln>
                <a:prstDash val="solid"/>
              </a:ln>
            </spPr>
          </dPt>
          <dPt>
            <idx val="1"/>
            <spPr>
              <a:solidFill>
                <a:srgbClr val="D9EAD3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val>
            <numRef>
              <f>'Еженедельник'!$O$13:$O$14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75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A64D79"/>
              </a:solidFill>
              <a:ln>
                <a:prstDash val="solid"/>
              </a:ln>
            </spPr>
          </dPt>
          <dPt>
            <idx val="1"/>
            <spPr>
              <a:solidFill>
                <a:srgbClr val="EAD1DC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val>
            <numRef>
              <f>'Еженедельник'!$R$13:$R$14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75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74EA7"/>
              </a:solidFill>
              <a:ln>
                <a:prstDash val="solid"/>
              </a:ln>
            </spPr>
          </dPt>
          <dPt>
            <idx val="1"/>
            <spPr>
              <a:solidFill>
                <a:srgbClr val="D9D2E9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val>
            <numRef>
              <f>'Еженедельник'!$U$13:$U$14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75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E69138"/>
              </a:solidFill>
              <a:ln>
                <a:prstDash val="solid"/>
              </a:ln>
            </spPr>
          </dPt>
          <dPt>
            <idx val="1"/>
            <spPr>
              <a:solidFill>
                <a:srgbClr val="FCE5CD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val>
            <numRef>
              <f>'Еженедельник'!$X$13:$X$14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75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CC0000"/>
              </a:solidFill>
              <a:ln>
                <a:prstDash val="solid"/>
              </a:ln>
            </spPr>
          </dPt>
          <dPt>
            <idx val="1"/>
            <spPr>
              <a:solidFill>
                <a:srgbClr val="F4CCCC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val>
            <numRef>
              <f>'Еженедельник'!$AA$13:$AA$14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75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1C232"/>
              </a:solidFill>
              <a:ln>
                <a:prstDash val="solid"/>
              </a:ln>
            </spPr>
          </dPt>
          <dPt>
            <idx val="1"/>
            <spPr>
              <a:solidFill>
                <a:srgbClr val="FFF2CC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val>
            <numRef>
              <f>'Еженедельник'!$AD$13:$AD$14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75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5818E"/>
              </a:solidFill>
              <a:ln>
                <a:prstDash val="solid"/>
              </a:ln>
            </spPr>
          </dPt>
          <dPt>
            <idx val="1"/>
            <spPr>
              <a:solidFill>
                <a:srgbClr val="A2C4C9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val>
            <numRef>
              <f>'Еженедельник'!$A$20:$A$21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75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57150</colOff>
      <row>4</row>
      <rowOff>0</rowOff>
    </from>
    <ext cx="1638300" cy="11239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12</col>
      <colOff>152400</colOff>
      <row>3</row>
      <rowOff>276225</rowOff>
    </from>
    <ext cx="1762125" cy="112395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15</col>
      <colOff>142875</colOff>
      <row>4</row>
      <rowOff>0</rowOff>
    </from>
    <ext cx="1762125" cy="112395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18</col>
      <colOff>133350</colOff>
      <row>4</row>
      <rowOff>0</rowOff>
    </from>
    <ext cx="1762125" cy="112395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21</col>
      <colOff>200025</colOff>
      <row>4</row>
      <rowOff>0</rowOff>
    </from>
    <ext cx="1638300" cy="112395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24</col>
      <colOff>228600</colOff>
      <row>4</row>
      <rowOff>0</rowOff>
    </from>
    <ext cx="1638300" cy="112395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  <oneCellAnchor>
    <from>
      <col>27</col>
      <colOff>257175</colOff>
      <row>4</row>
      <rowOff>0</rowOff>
    </from>
    <ext cx="1638300" cy="112395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 fLocksWithSheet="0"/>
  </oneCellAnchor>
  <oneCellAnchor>
    <from>
      <col>1</col>
      <colOff>0</colOff>
      <row>16</row>
      <rowOff>190500</rowOff>
    </from>
    <ext cx="1914525" cy="1819275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2"/>
  <sheetViews>
    <sheetView workbookViewId="0">
      <selection activeCell="A1" sqref="A1"/>
    </sheetView>
  </sheetViews>
  <sheetFormatPr baseColWidth="8" defaultColWidth="12.63" defaultRowHeight="15.75" customHeight="1"/>
  <cols>
    <col width="2.88" customWidth="1" style="150" min="1" max="1"/>
    <col width="8.5" customWidth="1" style="150" min="2" max="2"/>
    <col width="9.380000000000001" customWidth="1" style="150" min="3" max="4"/>
  </cols>
  <sheetData>
    <row r="1">
      <c r="A1" s="1" t="n">
        <v>1</v>
      </c>
      <c r="B1" s="1" t="inlineStr">
        <is>
          <t>Январь</t>
        </is>
      </c>
      <c r="C1" s="2" t="n">
        <v>46023</v>
      </c>
      <c r="D1" s="3">
        <f>EOMONTH(C1,0)</f>
        <v/>
      </c>
    </row>
    <row r="2">
      <c r="A2" s="1" t="n">
        <v>2</v>
      </c>
      <c r="B2" s="1" t="inlineStr">
        <is>
          <t>Февраль</t>
        </is>
      </c>
      <c r="C2" s="3">
        <f>EOMONTH(C1,0)+1</f>
        <v/>
      </c>
      <c r="D2" s="3">
        <f>EOMONTH(C2,0)</f>
        <v/>
      </c>
    </row>
    <row r="3">
      <c r="A3" s="1" t="n">
        <v>3</v>
      </c>
      <c r="B3" s="1" t="inlineStr">
        <is>
          <t>Март</t>
        </is>
      </c>
      <c r="C3" s="3">
        <f>EOMONTH(C2,0)+1</f>
        <v/>
      </c>
      <c r="D3" s="3">
        <f>EOMONTH(C3,0)</f>
        <v/>
      </c>
    </row>
    <row r="4">
      <c r="A4" s="1" t="n">
        <v>4</v>
      </c>
      <c r="B4" s="1" t="inlineStr">
        <is>
          <t>Апрель</t>
        </is>
      </c>
      <c r="C4" s="3">
        <f>EOMONTH(C3,0)+1</f>
        <v/>
      </c>
      <c r="D4" s="3">
        <f>EOMONTH(C4,0)</f>
        <v/>
      </c>
    </row>
    <row r="5">
      <c r="A5" s="1" t="n">
        <v>5</v>
      </c>
      <c r="B5" s="1" t="inlineStr">
        <is>
          <t>Май</t>
        </is>
      </c>
      <c r="C5" s="3">
        <f>EOMONTH(C4,0)+1</f>
        <v/>
      </c>
      <c r="D5" s="3">
        <f>EOMONTH(C5,0)</f>
        <v/>
      </c>
    </row>
    <row r="6">
      <c r="A6" s="1" t="n">
        <v>6</v>
      </c>
      <c r="B6" s="1" t="inlineStr">
        <is>
          <t>Июнь</t>
        </is>
      </c>
      <c r="C6" s="3">
        <f>EOMONTH(C5,0)+1</f>
        <v/>
      </c>
      <c r="D6" s="3">
        <f>EOMONTH(C6,0)</f>
        <v/>
      </c>
    </row>
    <row r="7">
      <c r="A7" s="1" t="n">
        <v>7</v>
      </c>
      <c r="B7" s="1" t="inlineStr">
        <is>
          <t>Июль</t>
        </is>
      </c>
      <c r="C7" s="3">
        <f>EOMONTH(C6,0)+1</f>
        <v/>
      </c>
      <c r="D7" s="3">
        <f>EOMONTH(C7,0)</f>
        <v/>
      </c>
    </row>
    <row r="8">
      <c r="A8" s="1" t="n">
        <v>8</v>
      </c>
      <c r="B8" s="1" t="inlineStr">
        <is>
          <t>Август</t>
        </is>
      </c>
      <c r="C8" s="3">
        <f>EOMONTH(C7,0)+1</f>
        <v/>
      </c>
      <c r="D8" s="3">
        <f>EOMONTH(C8,0)</f>
        <v/>
      </c>
    </row>
    <row r="9">
      <c r="A9" s="1" t="n">
        <v>9</v>
      </c>
      <c r="B9" s="1" t="inlineStr">
        <is>
          <t>Сентябрь</t>
        </is>
      </c>
      <c r="C9" s="3">
        <f>EOMONTH(C8,0)+1</f>
        <v/>
      </c>
      <c r="D9" s="3">
        <f>EOMONTH(C9,0)</f>
        <v/>
      </c>
    </row>
    <row r="10">
      <c r="A10" s="1" t="n">
        <v>10</v>
      </c>
      <c r="B10" s="1" t="inlineStr">
        <is>
          <t>Октябрь</t>
        </is>
      </c>
      <c r="C10" s="3">
        <f>EOMONTH(C9,0)+1</f>
        <v/>
      </c>
      <c r="D10" s="3">
        <f>EOMONTH(C10,0)</f>
        <v/>
      </c>
    </row>
    <row r="11">
      <c r="A11" s="1" t="n">
        <v>11</v>
      </c>
      <c r="B11" s="1" t="inlineStr">
        <is>
          <t>Ноябрь</t>
        </is>
      </c>
      <c r="C11" s="3">
        <f>EOMONTH(C10,0)+1</f>
        <v/>
      </c>
      <c r="D11" s="3">
        <f>EOMONTH(C11,0)</f>
        <v/>
      </c>
    </row>
    <row r="12">
      <c r="A12" s="1" t="n">
        <v>12</v>
      </c>
      <c r="B12" s="1" t="inlineStr">
        <is>
          <t>Декабрь</t>
        </is>
      </c>
      <c r="C12" s="3">
        <f>EOMONTH(C11,0)+1</f>
        <v/>
      </c>
      <c r="D12" s="3">
        <f>EOMONTH(C12,0)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Q43"/>
  <sheetViews>
    <sheetView workbookViewId="0">
      <selection activeCell="A1" sqref="A1"/>
    </sheetView>
  </sheetViews>
  <sheetFormatPr baseColWidth="8" defaultColWidth="12.63" defaultRowHeight="15.75" customHeight="1"/>
  <cols>
    <col width="4.5" customWidth="1" style="150" min="1" max="1"/>
    <col width="3.63" customWidth="1" style="150" min="2" max="8"/>
    <col width="4.5" customWidth="1" style="150" min="9" max="9"/>
    <col width="4.38" customWidth="1" style="150" min="10" max="10"/>
    <col width="15.63" customWidth="1" style="150" min="11" max="11"/>
    <col width="4.38" customWidth="1" style="150" min="12" max="13"/>
    <col width="19.75" customWidth="1" style="150" min="14" max="14"/>
    <col width="4.38" customWidth="1" style="150" min="15" max="16"/>
    <col width="19.75" customWidth="1" style="150" min="17" max="17"/>
    <col width="4.38" customWidth="1" style="150" min="18" max="19"/>
    <col width="19.75" customWidth="1" style="150" min="20" max="20"/>
    <col width="4.38" customWidth="1" style="150" min="21" max="22"/>
    <col width="19.75" customWidth="1" style="150" min="23" max="23"/>
    <col width="4.38" customWidth="1" style="150" min="24" max="25"/>
    <col width="19.75" customWidth="1" style="150" min="26" max="26"/>
    <col width="4.38" customWidth="1" style="150" min="27" max="28"/>
    <col width="19.75" customWidth="1" style="150" min="29" max="29"/>
    <col width="4.38" customWidth="1" style="150" min="30" max="30"/>
    <col width="4.5" customWidth="1" style="150" min="31" max="35"/>
    <col width="4.25" customWidth="1" style="150" min="36" max="42"/>
    <col width="4.5" customWidth="1" style="150" min="43" max="43"/>
  </cols>
  <sheetData>
    <row r="1">
      <c r="B1" s="4" t="n"/>
      <c r="C1" s="4" t="n"/>
      <c r="D1" s="4" t="n"/>
      <c r="E1" s="4" t="n"/>
      <c r="F1" s="4" t="n"/>
      <c r="G1" s="4" t="n"/>
      <c r="H1" s="4" t="n"/>
    </row>
    <row r="2">
      <c r="A2" s="5" t="n"/>
      <c r="B2" s="151" t="inlineStr">
        <is>
          <t>Начало недели</t>
        </is>
      </c>
      <c r="C2" s="152" t="n"/>
      <c r="D2" s="152" t="n"/>
      <c r="E2" s="152" t="n"/>
      <c r="F2" s="152" t="n"/>
      <c r="G2" s="152" t="n"/>
      <c r="H2" s="153" t="n"/>
      <c r="I2" s="5" t="n"/>
      <c r="J2" s="154">
        <f>PROPER(TEXT(J$3, "dddd"))</f>
        <v/>
      </c>
      <c r="K2" s="152" t="n"/>
      <c r="L2" s="153" t="n"/>
      <c r="M2" s="155">
        <f>PROPER(TEXT(M$3, "dddd"))</f>
        <v/>
      </c>
      <c r="N2" s="152" t="n"/>
      <c r="O2" s="153" t="n"/>
      <c r="P2" s="156">
        <f>PROPER(TEXT(P$3, "dddd"))</f>
        <v/>
      </c>
      <c r="Q2" s="152" t="n"/>
      <c r="R2" s="153" t="n"/>
      <c r="S2" s="157">
        <f>PROPER(TEXT(S$3, "dddd"))</f>
        <v/>
      </c>
      <c r="T2" s="152" t="n"/>
      <c r="U2" s="153" t="n"/>
      <c r="V2" s="158">
        <f>PROPER(TEXT(V$3, "dddd"))</f>
        <v/>
      </c>
      <c r="W2" s="152" t="n"/>
      <c r="X2" s="153" t="n"/>
      <c r="Y2" s="159">
        <f>PROPER(TEXT(Y$3, "dddd"))</f>
        <v/>
      </c>
      <c r="Z2" s="152" t="n"/>
      <c r="AA2" s="153" t="n"/>
      <c r="AB2" s="160">
        <f>PROPER(TEXT(AB$3, "dddd"))</f>
        <v/>
      </c>
      <c r="AC2" s="152" t="n"/>
      <c r="AD2" s="153" t="n"/>
      <c r="AE2" s="5" t="n"/>
      <c r="AF2" s="5" t="n"/>
      <c r="AG2" s="5" t="n"/>
      <c r="AH2" s="5" t="n"/>
      <c r="AI2" s="5" t="n"/>
      <c r="AJ2" s="161" t="inlineStr">
        <is>
          <t>Привычки</t>
        </is>
      </c>
      <c r="AK2" s="162" t="n"/>
      <c r="AL2" s="162" t="n"/>
      <c r="AM2" s="162" t="n"/>
      <c r="AN2" s="162" t="n"/>
      <c r="AO2" s="162" t="n"/>
      <c r="AP2" s="163" t="n"/>
      <c r="AQ2" s="5" t="n"/>
    </row>
    <row r="3">
      <c r="A3" s="5" t="n"/>
      <c r="B3" s="164" t="inlineStr">
        <is>
          <t>(Щелкнуть 2 раза на дату ниже)</t>
        </is>
      </c>
      <c r="H3" s="165" t="n"/>
      <c r="I3" s="5" t="n"/>
      <c r="J3" s="166">
        <f>B4</f>
        <v/>
      </c>
      <c r="L3" s="165" t="n"/>
      <c r="M3" s="167">
        <f>J3+1</f>
        <v/>
      </c>
      <c r="O3" s="165" t="n"/>
      <c r="P3" s="168">
        <f>M3+1</f>
        <v/>
      </c>
      <c r="R3" s="165" t="n"/>
      <c r="S3" s="169">
        <f>P3+1</f>
        <v/>
      </c>
      <c r="U3" s="165" t="n"/>
      <c r="V3" s="170">
        <f>S3+1</f>
        <v/>
      </c>
      <c r="X3" s="165" t="n"/>
      <c r="Y3" s="171">
        <f>V3+1</f>
        <v/>
      </c>
      <c r="AA3" s="165" t="n"/>
      <c r="AB3" s="172">
        <f>Y3+1</f>
        <v/>
      </c>
      <c r="AD3" s="165" t="n"/>
      <c r="AE3" s="5" t="n"/>
      <c r="AF3" s="5" t="n"/>
      <c r="AG3" s="5" t="n"/>
      <c r="AH3" s="5" t="n"/>
      <c r="AI3" s="5" t="n"/>
      <c r="AJ3" s="28" t="inlineStr">
        <is>
          <t>пн</t>
        </is>
      </c>
      <c r="AK3" s="29" t="inlineStr">
        <is>
          <t>вт</t>
        </is>
      </c>
      <c r="AL3" s="29" t="inlineStr">
        <is>
          <t>ср</t>
        </is>
      </c>
      <c r="AM3" s="29" t="inlineStr">
        <is>
          <t>чт</t>
        </is>
      </c>
      <c r="AN3" s="29" t="inlineStr">
        <is>
          <t>пт</t>
        </is>
      </c>
      <c r="AO3" s="29" t="inlineStr">
        <is>
          <t>сб</t>
        </is>
      </c>
      <c r="AP3" s="30" t="inlineStr">
        <is>
          <t>вс</t>
        </is>
      </c>
      <c r="AQ3" s="5" t="n"/>
    </row>
    <row r="4" ht="21.75" customHeight="1" s="150">
      <c r="B4" s="173" t="n">
        <v>46027</v>
      </c>
      <c r="C4" s="174" t="n"/>
      <c r="D4" s="174" t="n"/>
      <c r="E4" s="174" t="n"/>
      <c r="F4" s="174" t="n"/>
      <c r="G4" s="174" t="n"/>
      <c r="H4" s="175" t="n"/>
      <c r="J4" s="176">
        <f>L13/L12</f>
        <v/>
      </c>
      <c r="L4" s="165" t="n"/>
      <c r="M4" s="177">
        <f>O13/O12</f>
        <v/>
      </c>
      <c r="O4" s="165" t="n"/>
      <c r="P4" s="178">
        <f>R13/R12</f>
        <v/>
      </c>
      <c r="R4" s="165" t="n"/>
      <c r="S4" s="179">
        <f>U13/U12</f>
        <v/>
      </c>
      <c r="U4" s="165" t="n"/>
      <c r="V4" s="180">
        <f>X13/X12</f>
        <v/>
      </c>
      <c r="X4" s="165" t="n"/>
      <c r="Y4" s="181">
        <f>AA13/AA12</f>
        <v/>
      </c>
      <c r="AA4" s="165" t="n"/>
      <c r="AB4" s="182">
        <f>AD13/AD12</f>
        <v/>
      </c>
      <c r="AD4" s="165" t="n"/>
      <c r="AF4" s="41" t="n"/>
      <c r="AG4" s="152" t="n"/>
      <c r="AH4" s="152" t="n"/>
      <c r="AI4" s="152" t="n"/>
      <c r="AJ4" s="43" t="b">
        <v>0</v>
      </c>
      <c r="AK4" s="43" t="b">
        <v>0</v>
      </c>
      <c r="AL4" s="43" t="b">
        <v>0</v>
      </c>
      <c r="AM4" s="43" t="b">
        <v>0</v>
      </c>
      <c r="AN4" s="43" t="b">
        <v>0</v>
      </c>
      <c r="AO4" s="43" t="b">
        <v>0</v>
      </c>
      <c r="AP4" s="44" t="b">
        <v>0</v>
      </c>
    </row>
    <row r="5" ht="21.75" customHeight="1" s="150">
      <c r="B5" s="4" t="n"/>
      <c r="C5" s="4" t="n"/>
      <c r="D5" s="4" t="n"/>
      <c r="E5" s="4" t="n"/>
      <c r="F5" s="4" t="n"/>
      <c r="G5" s="4" t="n"/>
      <c r="H5" s="4" t="n"/>
      <c r="J5" s="183" t="n"/>
      <c r="L5" s="165" t="n"/>
      <c r="M5" s="183" t="n"/>
      <c r="O5" s="165" t="n"/>
      <c r="P5" s="183" t="n"/>
      <c r="R5" s="165" t="n"/>
      <c r="S5" s="183" t="n"/>
      <c r="U5" s="165" t="n"/>
      <c r="V5" s="183" t="n"/>
      <c r="X5" s="165" t="n"/>
      <c r="Y5" s="183" t="n"/>
      <c r="AA5" s="165" t="n"/>
      <c r="AB5" s="183" t="n"/>
      <c r="AD5" s="165" t="n"/>
      <c r="AF5" s="46" t="n"/>
      <c r="AJ5" s="43" t="b">
        <v>0</v>
      </c>
      <c r="AK5" s="43" t="b">
        <v>0</v>
      </c>
      <c r="AL5" s="43" t="b">
        <v>0</v>
      </c>
      <c r="AM5" s="43" t="b">
        <v>0</v>
      </c>
      <c r="AN5" s="43" t="b">
        <v>0</v>
      </c>
      <c r="AO5" s="43" t="b">
        <v>0</v>
      </c>
      <c r="AP5" s="44" t="b">
        <v>0</v>
      </c>
    </row>
    <row r="6" ht="21.75" customHeight="1" s="150">
      <c r="B6" s="184" t="inlineStr">
        <is>
          <t>Январь</t>
        </is>
      </c>
      <c r="C6" s="162" t="n"/>
      <c r="D6" s="162" t="n"/>
      <c r="E6" s="162" t="n"/>
      <c r="F6" s="162" t="n"/>
      <c r="G6" s="162" t="n"/>
      <c r="H6" s="163" t="n"/>
      <c r="J6" s="183" t="n"/>
      <c r="L6" s="165" t="n"/>
      <c r="M6" s="183" t="n"/>
      <c r="O6" s="165" t="n"/>
      <c r="P6" s="183" t="n"/>
      <c r="R6" s="165" t="n"/>
      <c r="S6" s="183" t="n"/>
      <c r="U6" s="165" t="n"/>
      <c r="V6" s="183" t="n"/>
      <c r="X6" s="165" t="n"/>
      <c r="Y6" s="183" t="n"/>
      <c r="AA6" s="165" t="n"/>
      <c r="AB6" s="183" t="n"/>
      <c r="AD6" s="165" t="n"/>
      <c r="AF6" s="46" t="n"/>
      <c r="AJ6" s="43" t="b">
        <v>0</v>
      </c>
      <c r="AK6" s="43" t="b">
        <v>0</v>
      </c>
      <c r="AL6" s="43" t="b">
        <v>0</v>
      </c>
      <c r="AM6" s="43" t="b">
        <v>0</v>
      </c>
      <c r="AN6" s="43" t="b">
        <v>0</v>
      </c>
      <c r="AO6" s="43" t="b">
        <v>0</v>
      </c>
      <c r="AP6" s="44" t="b">
        <v>0</v>
      </c>
    </row>
    <row r="7" ht="21.75" customHeight="1" s="150">
      <c r="B7" s="48" t="inlineStr">
        <is>
          <t>пн</t>
        </is>
      </c>
      <c r="C7" s="49" t="inlineStr">
        <is>
          <t>вт</t>
        </is>
      </c>
      <c r="D7" s="49" t="inlineStr">
        <is>
          <t>ср</t>
        </is>
      </c>
      <c r="E7" s="49" t="inlineStr">
        <is>
          <t>чт</t>
        </is>
      </c>
      <c r="F7" s="49" t="inlineStr">
        <is>
          <t>пт</t>
        </is>
      </c>
      <c r="G7" s="49" t="inlineStr">
        <is>
          <t>сб</t>
        </is>
      </c>
      <c r="H7" s="50" t="inlineStr">
        <is>
          <t>вс</t>
        </is>
      </c>
      <c r="J7" s="183" t="n"/>
      <c r="L7" s="165" t="n"/>
      <c r="M7" s="183" t="n"/>
      <c r="O7" s="165" t="n"/>
      <c r="P7" s="183" t="n"/>
      <c r="R7" s="165" t="n"/>
      <c r="S7" s="183" t="n"/>
      <c r="U7" s="165" t="n"/>
      <c r="V7" s="183" t="n"/>
      <c r="X7" s="165" t="n"/>
      <c r="Y7" s="183" t="n"/>
      <c r="AA7" s="165" t="n"/>
      <c r="AB7" s="183" t="n"/>
      <c r="AD7" s="165" t="n"/>
      <c r="AF7" s="46" t="n"/>
      <c r="AJ7" s="43" t="b">
        <v>0</v>
      </c>
      <c r="AK7" s="43" t="b">
        <v>0</v>
      </c>
      <c r="AL7" s="43" t="b">
        <v>0</v>
      </c>
      <c r="AM7" s="43" t="b">
        <v>0</v>
      </c>
      <c r="AN7" s="43" t="b">
        <v>0</v>
      </c>
      <c r="AO7" s="43" t="b">
        <v>0</v>
      </c>
      <c r="AP7" s="44" t="b">
        <v>0</v>
      </c>
    </row>
    <row r="8" ht="22.5" customHeight="1" s="150">
      <c r="B8" s="51">
        <f t="array" ref="B8">LET(
      start, 
      DATE(
            2026, 
            MATCH(
                       B6,
                       {"Январь";"Февраль";"Март";"Апрель";"Май";"Июнь";"Июль";"Август";"Сентябрь";"Октябрь";"Ноябрь";"Декабрь"}, 
                       0
            ), 
            1
      ), 
      start - WEEKDAY(
                       start, 
                       2
              ) + 1
 )</f>
        <v/>
      </c>
      <c r="C8" s="52">
        <f>B8+1</f>
        <v/>
      </c>
      <c r="D8" s="52">
        <f>C8+1</f>
        <v/>
      </c>
      <c r="E8" s="52">
        <f>D8+1</f>
        <v/>
      </c>
      <c r="F8" s="52">
        <f>E8+1</f>
        <v/>
      </c>
      <c r="G8" s="52">
        <f>F8+1</f>
        <v/>
      </c>
      <c r="H8" s="53">
        <f>G8+1</f>
        <v/>
      </c>
      <c r="J8" s="183" t="n"/>
      <c r="L8" s="165" t="n"/>
      <c r="M8" s="183" t="n"/>
      <c r="O8" s="165" t="n"/>
      <c r="P8" s="183" t="n"/>
      <c r="R8" s="165" t="n"/>
      <c r="S8" s="183" t="n"/>
      <c r="U8" s="165" t="n"/>
      <c r="V8" s="183" t="n"/>
      <c r="X8" s="165" t="n"/>
      <c r="Y8" s="183" t="n"/>
      <c r="AA8" s="165" t="n"/>
      <c r="AB8" s="183" t="n"/>
      <c r="AD8" s="165" t="n"/>
      <c r="AF8" s="46" t="n"/>
      <c r="AJ8" s="43" t="b">
        <v>0</v>
      </c>
      <c r="AK8" s="43" t="b">
        <v>0</v>
      </c>
      <c r="AL8" s="43" t="b">
        <v>0</v>
      </c>
      <c r="AM8" s="43" t="b">
        <v>0</v>
      </c>
      <c r="AN8" s="43" t="b">
        <v>0</v>
      </c>
      <c r="AO8" s="43" t="b">
        <v>0</v>
      </c>
      <c r="AP8" s="44" t="b">
        <v>0</v>
      </c>
    </row>
    <row r="9" ht="22.5" customHeight="1" s="150">
      <c r="B9" s="51">
        <f>H8+1</f>
        <v/>
      </c>
      <c r="C9" s="52">
        <f>B9+1</f>
        <v/>
      </c>
      <c r="D9" s="52">
        <f>C9+1</f>
        <v/>
      </c>
      <c r="E9" s="52">
        <f>D9+1</f>
        <v/>
      </c>
      <c r="F9" s="52">
        <f>E9+1</f>
        <v/>
      </c>
      <c r="G9" s="52">
        <f>F9+1</f>
        <v/>
      </c>
      <c r="H9" s="53">
        <f>G9+1</f>
        <v/>
      </c>
      <c r="J9" s="185" t="n"/>
      <c r="K9" s="174" t="n"/>
      <c r="L9" s="175" t="n"/>
      <c r="M9" s="185" t="n"/>
      <c r="N9" s="174" t="n"/>
      <c r="O9" s="175" t="n"/>
      <c r="P9" s="185" t="n"/>
      <c r="Q9" s="174" t="n"/>
      <c r="R9" s="175" t="n"/>
      <c r="S9" s="185" t="n"/>
      <c r="T9" s="174" t="n"/>
      <c r="U9" s="175" t="n"/>
      <c r="V9" s="185" t="n"/>
      <c r="W9" s="174" t="n"/>
      <c r="X9" s="175" t="n"/>
      <c r="Y9" s="185" t="n"/>
      <c r="Z9" s="174" t="n"/>
      <c r="AA9" s="175" t="n"/>
      <c r="AB9" s="185" t="n"/>
      <c r="AC9" s="174" t="n"/>
      <c r="AD9" s="175" t="n"/>
      <c r="AF9" s="46" t="n"/>
      <c r="AJ9" s="43" t="b">
        <v>0</v>
      </c>
      <c r="AK9" s="43" t="b">
        <v>0</v>
      </c>
      <c r="AL9" s="43" t="b">
        <v>0</v>
      </c>
      <c r="AM9" s="43" t="b">
        <v>0</v>
      </c>
      <c r="AN9" s="43" t="b">
        <v>0</v>
      </c>
      <c r="AO9" s="43" t="b">
        <v>0</v>
      </c>
      <c r="AP9" s="44" t="b">
        <v>0</v>
      </c>
    </row>
    <row r="10" ht="22.5" customHeight="1" s="150">
      <c r="B10" s="51">
        <f>H9+1</f>
        <v/>
      </c>
      <c r="C10" s="52">
        <f>B10+1</f>
        <v/>
      </c>
      <c r="D10" s="52">
        <f>C10+1</f>
        <v/>
      </c>
      <c r="E10" s="52">
        <f>D10+1</f>
        <v/>
      </c>
      <c r="F10" s="52">
        <f>E10+1</f>
        <v/>
      </c>
      <c r="G10" s="52">
        <f>F10+1</f>
        <v/>
      </c>
      <c r="H10" s="53">
        <f>G10+1</f>
        <v/>
      </c>
      <c r="J10" s="186" t="inlineStr">
        <is>
          <t>Фокус дня</t>
        </is>
      </c>
      <c r="K10" s="152" t="n"/>
      <c r="L10" s="153" t="n"/>
      <c r="M10" s="187" t="inlineStr">
        <is>
          <t>Фокус дня</t>
        </is>
      </c>
      <c r="N10" s="152" t="n"/>
      <c r="O10" s="153" t="n"/>
      <c r="P10" s="188" t="inlineStr">
        <is>
          <t>Фокус дня</t>
        </is>
      </c>
      <c r="Q10" s="152" t="n"/>
      <c r="R10" s="153" t="n"/>
      <c r="S10" s="189" t="inlineStr">
        <is>
          <t>Фокус дня</t>
        </is>
      </c>
      <c r="T10" s="152" t="n"/>
      <c r="U10" s="153" t="n"/>
      <c r="V10" s="190" t="inlineStr">
        <is>
          <t>Фокус дня</t>
        </is>
      </c>
      <c r="W10" s="152" t="n"/>
      <c r="X10" s="153" t="n"/>
      <c r="Y10" s="191" t="inlineStr">
        <is>
          <t>Фокус дня</t>
        </is>
      </c>
      <c r="Z10" s="152" t="n"/>
      <c r="AA10" s="153" t="n"/>
      <c r="AB10" s="192" t="inlineStr">
        <is>
          <t>Фокус дня</t>
        </is>
      </c>
      <c r="AC10" s="152" t="n"/>
      <c r="AD10" s="153" t="n"/>
      <c r="AF10" s="46" t="n"/>
      <c r="AJ10" s="43" t="b">
        <v>0</v>
      </c>
      <c r="AK10" s="43" t="b">
        <v>0</v>
      </c>
      <c r="AL10" s="43" t="b">
        <v>0</v>
      </c>
      <c r="AM10" s="43" t="b">
        <v>0</v>
      </c>
      <c r="AN10" s="43" t="b">
        <v>0</v>
      </c>
      <c r="AO10" s="43" t="b">
        <v>0</v>
      </c>
      <c r="AP10" s="44" t="b">
        <v>0</v>
      </c>
    </row>
    <row r="11" ht="22.5" customHeight="1" s="150">
      <c r="B11" s="51">
        <f>H10+1</f>
        <v/>
      </c>
      <c r="C11" s="52">
        <f>B11+1</f>
        <v/>
      </c>
      <c r="D11" s="52">
        <f>C11+1</f>
        <v/>
      </c>
      <c r="E11" s="52">
        <f>D11+1</f>
        <v/>
      </c>
      <c r="F11" s="52">
        <f>E11+1</f>
        <v/>
      </c>
      <c r="G11" s="52">
        <f>F11+1</f>
        <v/>
      </c>
      <c r="H11" s="53">
        <f>G11+1</f>
        <v/>
      </c>
      <c r="J11" s="193" t="n"/>
      <c r="K11" s="174" t="n"/>
      <c r="L11" s="175" t="n"/>
      <c r="M11" s="194" t="n"/>
      <c r="N11" s="174" t="n"/>
      <c r="O11" s="175" t="n"/>
      <c r="P11" s="195" t="n"/>
      <c r="Q11" s="174" t="n"/>
      <c r="R11" s="175" t="n"/>
      <c r="S11" s="196" t="n"/>
      <c r="T11" s="174" t="n"/>
      <c r="U11" s="175" t="n"/>
      <c r="V11" s="197" t="n"/>
      <c r="W11" s="174" t="n"/>
      <c r="X11" s="175" t="n"/>
      <c r="Y11" s="198" t="n"/>
      <c r="Z11" s="174" t="n"/>
      <c r="AA11" s="175" t="n"/>
      <c r="AB11" s="199" t="n"/>
      <c r="AC11" s="174" t="n"/>
      <c r="AD11" s="175" t="n"/>
      <c r="AF11" s="46" t="n"/>
      <c r="AJ11" s="43" t="b">
        <v>0</v>
      </c>
      <c r="AK11" s="43" t="b">
        <v>0</v>
      </c>
      <c r="AL11" s="43" t="b">
        <v>0</v>
      </c>
      <c r="AM11" s="43" t="b">
        <v>0</v>
      </c>
      <c r="AN11" s="43" t="b">
        <v>0</v>
      </c>
      <c r="AO11" s="43" t="b">
        <v>0</v>
      </c>
      <c r="AP11" s="44" t="b">
        <v>0</v>
      </c>
    </row>
    <row r="12" ht="22.5" customHeight="1" s="150">
      <c r="B12" s="51">
        <f>H11+1</f>
        <v/>
      </c>
      <c r="C12" s="52">
        <f>B12+1</f>
        <v/>
      </c>
      <c r="D12" s="52">
        <f>C12+1</f>
        <v/>
      </c>
      <c r="E12" s="52">
        <f>D12+1</f>
        <v/>
      </c>
      <c r="F12" s="52">
        <f>E12+1</f>
        <v/>
      </c>
      <c r="G12" s="52">
        <f>F12+1</f>
        <v/>
      </c>
      <c r="H12" s="53">
        <f>G12+1</f>
        <v/>
      </c>
      <c r="J12" s="69" t="inlineStr">
        <is>
          <t>Всего</t>
        </is>
      </c>
      <c r="K12" s="152" t="n"/>
      <c r="L12" s="70">
        <f>COUNTA(K$16:L$34)</f>
        <v/>
      </c>
      <c r="M12" s="69" t="inlineStr">
        <is>
          <t>Всего</t>
        </is>
      </c>
      <c r="N12" s="152" t="n"/>
      <c r="O12" s="70">
        <f>COUNTA(N$16:O$34)</f>
        <v/>
      </c>
      <c r="P12" s="69" t="inlineStr">
        <is>
          <t>Всего</t>
        </is>
      </c>
      <c r="Q12" s="152" t="n"/>
      <c r="R12" s="70">
        <f>COUNTA(Q$16:R$34)</f>
        <v/>
      </c>
      <c r="S12" s="69" t="inlineStr">
        <is>
          <t>Всего</t>
        </is>
      </c>
      <c r="T12" s="152" t="n"/>
      <c r="U12" s="70">
        <f>COUNTA(T$16:U$34)</f>
        <v/>
      </c>
      <c r="V12" s="69" t="inlineStr">
        <is>
          <t>Всего</t>
        </is>
      </c>
      <c r="W12" s="152" t="n"/>
      <c r="X12" s="70">
        <f>COUNTA(W$16:X$34)</f>
        <v/>
      </c>
      <c r="Y12" s="69" t="inlineStr">
        <is>
          <t>Всего</t>
        </is>
      </c>
      <c r="Z12" s="152" t="n"/>
      <c r="AA12" s="70">
        <f>COUNTA(Z$16:AA$34)</f>
        <v/>
      </c>
      <c r="AB12" s="69" t="inlineStr">
        <is>
          <t>Всего</t>
        </is>
      </c>
      <c r="AC12" s="152" t="n"/>
      <c r="AD12" s="70">
        <f>COUNTA(AC$16:AD$34)</f>
        <v/>
      </c>
      <c r="AF12" s="46" t="n"/>
      <c r="AJ12" s="43" t="b">
        <v>0</v>
      </c>
      <c r="AK12" s="43" t="b">
        <v>0</v>
      </c>
      <c r="AL12" s="43" t="b">
        <v>0</v>
      </c>
      <c r="AM12" s="43" t="b">
        <v>0</v>
      </c>
      <c r="AN12" s="43" t="b">
        <v>0</v>
      </c>
      <c r="AO12" s="43" t="b">
        <v>0</v>
      </c>
      <c r="AP12" s="44" t="b">
        <v>0</v>
      </c>
    </row>
    <row r="13" ht="22.5" customHeight="1" s="150">
      <c r="B13" s="71">
        <f>H12+1</f>
        <v/>
      </c>
      <c r="C13" s="72">
        <f>B13+1</f>
        <v/>
      </c>
      <c r="D13" s="72">
        <f>C13+1</f>
        <v/>
      </c>
      <c r="E13" s="72">
        <f>D13+1</f>
        <v/>
      </c>
      <c r="F13" s="72">
        <f>E13+1</f>
        <v/>
      </c>
      <c r="G13" s="72">
        <f>F13+1</f>
        <v/>
      </c>
      <c r="H13" s="73">
        <f>G13+1</f>
        <v/>
      </c>
      <c r="J13" s="74" t="inlineStr">
        <is>
          <t>Завершено</t>
        </is>
      </c>
      <c r="L13" s="75">
        <f>COUNTIF(J$16:J$34,TRUE())</f>
        <v/>
      </c>
      <c r="M13" s="74" t="inlineStr">
        <is>
          <t>Завершено</t>
        </is>
      </c>
      <c r="O13" s="75">
        <f>COUNTIF(M$16:M$34,TRUE())</f>
        <v/>
      </c>
      <c r="P13" s="74" t="inlineStr">
        <is>
          <t>Завершено</t>
        </is>
      </c>
      <c r="R13" s="75">
        <f>COUNTIF(P$16:P$34,TRUE())</f>
        <v/>
      </c>
      <c r="S13" s="74" t="inlineStr">
        <is>
          <t>Завершено</t>
        </is>
      </c>
      <c r="U13" s="75">
        <f>COUNTIF(S$16:S$34,TRUE())</f>
        <v/>
      </c>
      <c r="V13" s="74" t="inlineStr">
        <is>
          <t>Завершено</t>
        </is>
      </c>
      <c r="X13" s="75">
        <f>COUNTIF(V$16:V$34,TRUE())</f>
        <v/>
      </c>
      <c r="Y13" s="74" t="inlineStr">
        <is>
          <t>Завершено</t>
        </is>
      </c>
      <c r="AA13" s="75">
        <f>COUNTIF(Y$16:Y$34,TRUE())</f>
        <v/>
      </c>
      <c r="AB13" s="74" t="inlineStr">
        <is>
          <t>Завершено</t>
        </is>
      </c>
      <c r="AD13" s="75">
        <f>COUNTIF(AB$16:AB$34,TRUE())</f>
        <v/>
      </c>
      <c r="AF13" s="46" t="n"/>
      <c r="AJ13" s="43" t="b">
        <v>0</v>
      </c>
      <c r="AK13" s="43" t="b">
        <v>0</v>
      </c>
      <c r="AL13" s="43" t="b">
        <v>0</v>
      </c>
      <c r="AM13" s="43" t="b">
        <v>0</v>
      </c>
      <c r="AN13" s="43" t="b">
        <v>0</v>
      </c>
      <c r="AO13" s="43" t="b">
        <v>0</v>
      </c>
      <c r="AP13" s="44" t="b">
        <v>0</v>
      </c>
    </row>
    <row r="14" ht="22.5" customHeight="1" s="150">
      <c r="B14" s="4" t="n"/>
      <c r="C14" s="4" t="n"/>
      <c r="D14" s="4" t="n"/>
      <c r="E14" s="4" t="n"/>
      <c r="F14" s="4" t="n"/>
      <c r="G14" s="4" t="n"/>
      <c r="H14" s="4" t="n"/>
      <c r="J14" s="76" t="inlineStr">
        <is>
          <t>Осталось</t>
        </is>
      </c>
      <c r="K14" s="174" t="n"/>
      <c r="L14" s="77">
        <f>L$12-L$13</f>
        <v/>
      </c>
      <c r="M14" s="76" t="inlineStr">
        <is>
          <t>Осталось</t>
        </is>
      </c>
      <c r="N14" s="174" t="n"/>
      <c r="O14" s="77">
        <f>O$12-O$13</f>
        <v/>
      </c>
      <c r="P14" s="76" t="inlineStr">
        <is>
          <t>Осталось</t>
        </is>
      </c>
      <c r="Q14" s="174" t="n"/>
      <c r="R14" s="77">
        <f>R$12-R$13</f>
        <v/>
      </c>
      <c r="S14" s="76" t="inlineStr">
        <is>
          <t>Осталось</t>
        </is>
      </c>
      <c r="T14" s="174" t="n"/>
      <c r="U14" s="77">
        <f>U$12-U$13</f>
        <v/>
      </c>
      <c r="V14" s="76" t="inlineStr">
        <is>
          <t>Осталось</t>
        </is>
      </c>
      <c r="W14" s="174" t="n"/>
      <c r="X14" s="77">
        <f>X$12-X$13</f>
        <v/>
      </c>
      <c r="Y14" s="76" t="inlineStr">
        <is>
          <t>Осталось</t>
        </is>
      </c>
      <c r="Z14" s="174" t="n"/>
      <c r="AA14" s="77">
        <f>AA$12-AA$13</f>
        <v/>
      </c>
      <c r="AB14" s="76" t="inlineStr">
        <is>
          <t>Осталось</t>
        </is>
      </c>
      <c r="AC14" s="174" t="n"/>
      <c r="AD14" s="77">
        <f>AD$12-AD$13</f>
        <v/>
      </c>
      <c r="AF14" s="78" t="n"/>
      <c r="AG14" s="174" t="n"/>
      <c r="AH14" s="174" t="n"/>
      <c r="AI14" s="174" t="n"/>
      <c r="AJ14" s="43" t="b">
        <v>0</v>
      </c>
      <c r="AK14" s="43" t="b">
        <v>0</v>
      </c>
      <c r="AL14" s="43" t="b">
        <v>0</v>
      </c>
      <c r="AM14" s="43" t="b">
        <v>0</v>
      </c>
      <c r="AN14" s="43" t="b">
        <v>0</v>
      </c>
      <c r="AO14" s="43" t="b">
        <v>0</v>
      </c>
      <c r="AP14" s="44" t="b">
        <v>0</v>
      </c>
    </row>
    <row r="15">
      <c r="C15" s="4" t="n"/>
      <c r="D15" s="4" t="n"/>
      <c r="E15" s="4" t="n"/>
      <c r="F15" s="4" t="n"/>
      <c r="G15" s="4" t="n"/>
      <c r="H15" s="4" t="n"/>
      <c r="J15" s="200" t="inlineStr">
        <is>
          <t>Задачи</t>
        </is>
      </c>
      <c r="K15" s="162" t="n"/>
      <c r="L15" s="163" t="n"/>
      <c r="M15" s="201" t="inlineStr">
        <is>
          <t>Задачи</t>
        </is>
      </c>
      <c r="N15" s="162" t="n"/>
      <c r="O15" s="163" t="n"/>
      <c r="P15" s="202" t="inlineStr">
        <is>
          <t>Задачи</t>
        </is>
      </c>
      <c r="Q15" s="162" t="n"/>
      <c r="R15" s="163" t="n"/>
      <c r="S15" s="203" t="inlineStr">
        <is>
          <t>Задачи</t>
        </is>
      </c>
      <c r="T15" s="162" t="n"/>
      <c r="U15" s="163" t="n"/>
      <c r="V15" s="204" t="inlineStr">
        <is>
          <t>Задачи</t>
        </is>
      </c>
      <c r="W15" s="162" t="n"/>
      <c r="X15" s="163" t="n"/>
      <c r="Y15" s="205" t="inlineStr">
        <is>
          <t>Задачи</t>
        </is>
      </c>
      <c r="Z15" s="162" t="n"/>
      <c r="AA15" s="163" t="n"/>
      <c r="AB15" s="206" t="inlineStr">
        <is>
          <t>Задачи</t>
        </is>
      </c>
      <c r="AC15" s="162" t="n"/>
      <c r="AD15" s="163" t="n"/>
      <c r="AJ15" s="86" t="n"/>
      <c r="AK15" s="87" t="n"/>
      <c r="AL15" s="87" t="n"/>
      <c r="AM15" s="87" t="n"/>
      <c r="AN15" s="87" t="n"/>
      <c r="AO15" s="87" t="n"/>
      <c r="AP15" s="88" t="n"/>
    </row>
    <row r="16">
      <c r="B16" s="89" t="inlineStr">
        <is>
          <t>Неделя</t>
        </is>
      </c>
      <c r="J16" s="90" t="b">
        <v>1</v>
      </c>
      <c r="K16" s="207" t="inlineStr">
        <is>
          <t>kjsdhfsjkdhf</t>
        </is>
      </c>
      <c r="L16" s="165" t="n"/>
      <c r="M16" s="104" t="b">
        <v>0</v>
      </c>
      <c r="N16" s="208" t="inlineStr">
        <is>
          <t>kjsdhfsjkdhf</t>
        </is>
      </c>
      <c r="O16" s="165" t="n"/>
      <c r="P16" s="117" t="b">
        <v>0</v>
      </c>
      <c r="Q16" s="209" t="inlineStr">
        <is>
          <t>kjsdhfsjkdhf</t>
        </is>
      </c>
      <c r="R16" s="165" t="n"/>
      <c r="S16" s="105" t="b">
        <v>0</v>
      </c>
      <c r="T16" s="210" t="inlineStr">
        <is>
          <t>kjsdhfsjkdhf</t>
        </is>
      </c>
      <c r="U16" s="165" t="n"/>
      <c r="V16" s="106" t="b">
        <v>0</v>
      </c>
      <c r="W16" s="211" t="inlineStr">
        <is>
          <t>kjsdhfsjkdhf</t>
        </is>
      </c>
      <c r="X16" s="165" t="n"/>
      <c r="Y16" s="109" t="b">
        <v>0</v>
      </c>
      <c r="Z16" s="212" t="inlineStr">
        <is>
          <t>kjsdhfsjkdhf</t>
        </is>
      </c>
      <c r="AA16" s="165" t="n"/>
      <c r="AB16" s="115" t="b">
        <v>1</v>
      </c>
      <c r="AC16" s="213" t="inlineStr">
        <is>
          <t>kjsdhfsjkdhf</t>
        </is>
      </c>
      <c r="AD16" s="165" t="n"/>
      <c r="AJ16" s="183" t="n"/>
      <c r="AP16" s="165" t="n"/>
    </row>
    <row r="17">
      <c r="J17" s="90" t="b">
        <v>1</v>
      </c>
      <c r="K17" s="207" t="inlineStr">
        <is>
          <t>sdfslkdfj</t>
        </is>
      </c>
      <c r="L17" s="165" t="n"/>
      <c r="M17" s="104" t="b">
        <v>0</v>
      </c>
      <c r="N17" s="208" t="inlineStr">
        <is>
          <t>sdfslkdfj</t>
        </is>
      </c>
      <c r="O17" s="165" t="n"/>
      <c r="P17" s="117" t="b">
        <v>0</v>
      </c>
      <c r="Q17" s="209" t="inlineStr">
        <is>
          <t>sdfslkdfj</t>
        </is>
      </c>
      <c r="R17" s="165" t="n"/>
      <c r="S17" s="105" t="b">
        <v>1</v>
      </c>
      <c r="T17" s="210" t="inlineStr">
        <is>
          <t>sdfslkdfj</t>
        </is>
      </c>
      <c r="U17" s="165" t="n"/>
      <c r="V17" s="106" t="b">
        <v>0</v>
      </c>
      <c r="W17" s="211" t="inlineStr">
        <is>
          <t>sdfslkdfj</t>
        </is>
      </c>
      <c r="X17" s="165" t="n"/>
      <c r="Y17" s="109" t="b">
        <v>1</v>
      </c>
      <c r="Z17" s="212" t="inlineStr">
        <is>
          <t>sdfslkdfj</t>
        </is>
      </c>
      <c r="AA17" s="165" t="n"/>
      <c r="AB17" s="115" t="b">
        <v>1</v>
      </c>
      <c r="AC17" s="213" t="inlineStr">
        <is>
          <t>sdfslkdfj</t>
        </is>
      </c>
      <c r="AD17" s="165" t="n"/>
      <c r="AJ17" s="183" t="n"/>
      <c r="AP17" s="165" t="n"/>
    </row>
    <row r="18">
      <c r="B18" s="107">
        <f>A20/A19</f>
        <v/>
      </c>
      <c r="J18" s="90" t="b">
        <v>1</v>
      </c>
      <c r="K18" s="207" t="inlineStr">
        <is>
          <t>sdkjfshdfsd</t>
        </is>
      </c>
      <c r="L18" s="165" t="n"/>
      <c r="M18" s="104" t="b">
        <v>1</v>
      </c>
      <c r="N18" s="208" t="inlineStr">
        <is>
          <t>sdkjfshdfsd</t>
        </is>
      </c>
      <c r="O18" s="165" t="n"/>
      <c r="P18" s="117" t="b">
        <v>1</v>
      </c>
      <c r="Q18" s="209" t="inlineStr">
        <is>
          <t>sdkjfshdfsd</t>
        </is>
      </c>
      <c r="R18" s="165" t="n"/>
      <c r="S18" s="105" t="b">
        <v>1</v>
      </c>
      <c r="T18" s="210" t="inlineStr">
        <is>
          <t>sdkjfshdfsd</t>
        </is>
      </c>
      <c r="U18" s="165" t="n"/>
      <c r="V18" s="106" t="b">
        <v>0</v>
      </c>
      <c r="W18" s="211" t="inlineStr">
        <is>
          <t>sdkjfshdfsd</t>
        </is>
      </c>
      <c r="X18" s="165" t="n"/>
      <c r="Y18" s="109" t="b">
        <v>1</v>
      </c>
      <c r="Z18" s="212" t="inlineStr">
        <is>
          <t>sdkjfshdfsd</t>
        </is>
      </c>
      <c r="AA18" s="165" t="n"/>
      <c r="AB18" s="115" t="b">
        <v>1</v>
      </c>
      <c r="AC18" s="213" t="inlineStr">
        <is>
          <t>sdkjfshdfsd</t>
        </is>
      </c>
      <c r="AD18" s="165" t="n"/>
      <c r="AJ18" s="183" t="n"/>
      <c r="AP18" s="165" t="n"/>
    </row>
    <row r="19">
      <c r="A19" s="108">
        <f>SUM(L12,O12,R12,U12,X12,AA12,AD12)</f>
        <v/>
      </c>
      <c r="J19" s="90" t="b">
        <v>1</v>
      </c>
      <c r="K19" s="207" t="inlineStr">
        <is>
          <t>sdfslkdfj</t>
        </is>
      </c>
      <c r="L19" s="165" t="n"/>
      <c r="M19" s="104" t="b">
        <v>1</v>
      </c>
      <c r="N19" s="208" t="inlineStr">
        <is>
          <t>sdfslkdfj</t>
        </is>
      </c>
      <c r="O19" s="165" t="n"/>
      <c r="P19" s="117" t="b">
        <v>1</v>
      </c>
      <c r="Q19" s="209" t="inlineStr">
        <is>
          <t>sdfslkdfj</t>
        </is>
      </c>
      <c r="R19" s="165" t="n"/>
      <c r="S19" s="105" t="b">
        <v>1</v>
      </c>
      <c r="T19" s="210" t="inlineStr">
        <is>
          <t>sdfslkdfj</t>
        </is>
      </c>
      <c r="U19" s="165" t="n"/>
      <c r="V19" s="106" t="b">
        <v>1</v>
      </c>
      <c r="W19" s="211" t="inlineStr">
        <is>
          <t>sdfslkdfj</t>
        </is>
      </c>
      <c r="X19" s="165" t="n"/>
      <c r="Y19" s="109" t="b">
        <v>1</v>
      </c>
      <c r="Z19" s="212" t="inlineStr">
        <is>
          <t>sdfslkdfj</t>
        </is>
      </c>
      <c r="AA19" s="165" t="n"/>
      <c r="AB19" s="115" t="b">
        <v>1</v>
      </c>
      <c r="AC19" s="213" t="inlineStr">
        <is>
          <t>sdfslkdfj</t>
        </is>
      </c>
      <c r="AD19" s="165" t="n"/>
      <c r="AJ19" s="183" t="n"/>
      <c r="AP19" s="165" t="n"/>
    </row>
    <row r="20">
      <c r="A20" s="108">
        <f>SUM(L13,O13,R13,U13,X13,AA13,AD13)</f>
        <v/>
      </c>
      <c r="J20" s="90" t="b">
        <v>1</v>
      </c>
      <c r="K20" s="207" t="inlineStr">
        <is>
          <t>sdfslkdfj</t>
        </is>
      </c>
      <c r="L20" s="165" t="n"/>
      <c r="M20" s="104" t="b">
        <v>1</v>
      </c>
      <c r="N20" s="208" t="inlineStr">
        <is>
          <t>sdfslkdfj</t>
        </is>
      </c>
      <c r="O20" s="165" t="n"/>
      <c r="P20" s="117" t="b">
        <v>1</v>
      </c>
      <c r="Q20" s="209" t="inlineStr">
        <is>
          <t>sdfslkdfj</t>
        </is>
      </c>
      <c r="R20" s="165" t="n"/>
      <c r="S20" s="105" t="b">
        <v>1</v>
      </c>
      <c r="T20" s="210" t="inlineStr">
        <is>
          <t>sdfslkdfj</t>
        </is>
      </c>
      <c r="U20" s="165" t="n"/>
      <c r="V20" s="106" t="b">
        <v>0</v>
      </c>
      <c r="W20" s="211" t="inlineStr">
        <is>
          <t>sdfslkdfj</t>
        </is>
      </c>
      <c r="X20" s="165" t="n"/>
      <c r="Y20" s="109" t="b">
        <v>1</v>
      </c>
      <c r="Z20" s="212" t="inlineStr">
        <is>
          <t>sdfslkdfj</t>
        </is>
      </c>
      <c r="AA20" s="165" t="n"/>
      <c r="AB20" s="115" t="b">
        <v>0</v>
      </c>
      <c r="AC20" s="213" t="inlineStr">
        <is>
          <t>sdfslkdfj</t>
        </is>
      </c>
      <c r="AD20" s="165" t="n"/>
      <c r="AJ20" s="183" t="n"/>
      <c r="AP20" s="165" t="n"/>
    </row>
    <row r="21">
      <c r="A21" s="108">
        <f>SUM(L14,O14,R14,U14,X14,AA14,AD14)</f>
        <v/>
      </c>
      <c r="J21" s="90" t="b">
        <v>1</v>
      </c>
      <c r="K21" s="207" t="inlineStr">
        <is>
          <t>sdfslkdfj</t>
        </is>
      </c>
      <c r="L21" s="165" t="n"/>
      <c r="M21" s="104" t="b">
        <v>1</v>
      </c>
      <c r="N21" s="208" t="inlineStr">
        <is>
          <t>sdfslkdfj</t>
        </is>
      </c>
      <c r="O21" s="165" t="n"/>
      <c r="P21" s="117" t="b">
        <v>1</v>
      </c>
      <c r="Q21" s="209" t="inlineStr">
        <is>
          <t>sdfslkdfj</t>
        </is>
      </c>
      <c r="R21" s="165" t="n"/>
      <c r="S21" s="105" t="b">
        <v>0</v>
      </c>
      <c r="T21" s="210" t="inlineStr">
        <is>
          <t>sdfslkdfj</t>
        </is>
      </c>
      <c r="U21" s="165" t="n"/>
      <c r="V21" s="106" t="b">
        <v>1</v>
      </c>
      <c r="W21" s="211" t="inlineStr">
        <is>
          <t>sdfslkdfj</t>
        </is>
      </c>
      <c r="X21" s="165" t="n"/>
      <c r="Y21" s="109" t="b">
        <v>1</v>
      </c>
      <c r="Z21" s="212" t="inlineStr">
        <is>
          <t>sdfslkdfj</t>
        </is>
      </c>
      <c r="AA21" s="165" t="n"/>
      <c r="AB21" s="115" t="b">
        <v>1</v>
      </c>
      <c r="AC21" s="213" t="inlineStr">
        <is>
          <t>sdfslkdfj</t>
        </is>
      </c>
      <c r="AD21" s="165" t="n"/>
      <c r="AJ21" s="183" t="n"/>
      <c r="AP21" s="165" t="n"/>
    </row>
    <row r="22">
      <c r="J22" s="90" t="b">
        <v>1</v>
      </c>
      <c r="K22" s="207" t="inlineStr">
        <is>
          <t>sdfslkdfj</t>
        </is>
      </c>
      <c r="L22" s="165" t="n"/>
      <c r="M22" s="104" t="b">
        <v>1</v>
      </c>
      <c r="N22" s="208" t="inlineStr">
        <is>
          <t>sdfslkdfj</t>
        </is>
      </c>
      <c r="O22" s="165" t="n"/>
      <c r="P22" s="117" t="b">
        <v>1</v>
      </c>
      <c r="Q22" s="209" t="inlineStr">
        <is>
          <t>sdfslkdfj</t>
        </is>
      </c>
      <c r="R22" s="165" t="n"/>
      <c r="S22" s="105" t="b">
        <v>1</v>
      </c>
      <c r="T22" s="210" t="inlineStr">
        <is>
          <t>sdfslkdfj</t>
        </is>
      </c>
      <c r="U22" s="165" t="n"/>
      <c r="V22" s="106" t="b">
        <v>1</v>
      </c>
      <c r="W22" s="211" t="inlineStr">
        <is>
          <t>sdfslkdfj</t>
        </is>
      </c>
      <c r="X22" s="165" t="n"/>
      <c r="Y22" s="109" t="b">
        <v>1</v>
      </c>
      <c r="Z22" s="212" t="inlineStr">
        <is>
          <t>sdfslkdfj</t>
        </is>
      </c>
      <c r="AA22" s="165" t="n"/>
      <c r="AB22" s="115" t="b">
        <v>0</v>
      </c>
      <c r="AC22" s="213" t="inlineStr">
        <is>
          <t>sdfslkdfj</t>
        </is>
      </c>
      <c r="AD22" s="165" t="n"/>
      <c r="AJ22" s="183" t="n"/>
      <c r="AP22" s="165" t="n"/>
    </row>
    <row r="23">
      <c r="J23" s="90" t="b">
        <v>1</v>
      </c>
      <c r="K23" s="207" t="inlineStr">
        <is>
          <t>sdfslkdfj</t>
        </is>
      </c>
      <c r="L23" s="165" t="n"/>
      <c r="M23" s="104" t="b">
        <v>1</v>
      </c>
      <c r="N23" s="208" t="inlineStr">
        <is>
          <t>sdfslkdfj</t>
        </is>
      </c>
      <c r="O23" s="165" t="n"/>
      <c r="P23" s="117" t="b">
        <v>1</v>
      </c>
      <c r="Q23" s="209" t="inlineStr">
        <is>
          <t>sdfslkdfj</t>
        </is>
      </c>
      <c r="R23" s="165" t="n"/>
      <c r="S23" s="105" t="b">
        <v>1</v>
      </c>
      <c r="T23" s="210" t="inlineStr">
        <is>
          <t>sdfslkdfj</t>
        </is>
      </c>
      <c r="U23" s="165" t="n"/>
      <c r="V23" s="106" t="b">
        <v>1</v>
      </c>
      <c r="W23" s="211" t="inlineStr">
        <is>
          <t>sdfslkdfj</t>
        </is>
      </c>
      <c r="X23" s="165" t="n"/>
      <c r="Y23" s="109" t="b">
        <v>1</v>
      </c>
      <c r="Z23" s="212" t="inlineStr">
        <is>
          <t>sdfslkdfj</t>
        </is>
      </c>
      <c r="AA23" s="165" t="n"/>
      <c r="AB23" s="115" t="b">
        <v>1</v>
      </c>
      <c r="AC23" s="213" t="inlineStr">
        <is>
          <t>sdfslkdfj</t>
        </is>
      </c>
      <c r="AD23" s="165" t="n"/>
      <c r="AJ23" s="183" t="n"/>
      <c r="AP23" s="165" t="n"/>
    </row>
    <row r="24">
      <c r="J24" s="90" t="b">
        <v>1</v>
      </c>
      <c r="K24" s="207" t="inlineStr">
        <is>
          <t>вава</t>
        </is>
      </c>
      <c r="L24" s="165" t="n"/>
      <c r="M24" s="104" t="b">
        <v>1</v>
      </c>
      <c r="N24" s="208" t="inlineStr">
        <is>
          <t>вава</t>
        </is>
      </c>
      <c r="O24" s="165" t="n"/>
      <c r="P24" s="117" t="b">
        <v>1</v>
      </c>
      <c r="Q24" s="209" t="inlineStr">
        <is>
          <t>вава</t>
        </is>
      </c>
      <c r="R24" s="165" t="n"/>
      <c r="S24" s="105" t="b">
        <v>1</v>
      </c>
      <c r="T24" s="210" t="inlineStr">
        <is>
          <t>вава</t>
        </is>
      </c>
      <c r="U24" s="165" t="n"/>
      <c r="V24" s="106" t="b">
        <v>1</v>
      </c>
      <c r="W24" s="211" t="inlineStr">
        <is>
          <t>вава</t>
        </is>
      </c>
      <c r="X24" s="165" t="n"/>
      <c r="Y24" s="109" t="b">
        <v>0</v>
      </c>
      <c r="Z24" s="212" t="inlineStr">
        <is>
          <t>вава</t>
        </is>
      </c>
      <c r="AA24" s="165" t="n"/>
      <c r="AB24" s="115" t="b">
        <v>1</v>
      </c>
      <c r="AC24" s="213" t="inlineStr">
        <is>
          <t>вава</t>
        </is>
      </c>
      <c r="AD24" s="165" t="n"/>
      <c r="AJ24" s="183" t="n"/>
      <c r="AP24" s="165" t="n"/>
    </row>
    <row r="25">
      <c r="J25" s="90" t="b">
        <v>0</v>
      </c>
      <c r="K25" s="207" t="inlineStr">
        <is>
          <t>d</t>
        </is>
      </c>
      <c r="L25" s="165" t="n"/>
      <c r="M25" s="104" t="b">
        <v>1</v>
      </c>
      <c r="N25" s="208" t="inlineStr">
        <is>
          <t>d</t>
        </is>
      </c>
      <c r="O25" s="165" t="n"/>
      <c r="P25" s="117" t="b">
        <v>1</v>
      </c>
      <c r="Q25" s="209" t="inlineStr">
        <is>
          <t>d</t>
        </is>
      </c>
      <c r="R25" s="165" t="n"/>
      <c r="S25" s="105" t="b">
        <v>1</v>
      </c>
      <c r="T25" s="210" t="inlineStr">
        <is>
          <t>d</t>
        </is>
      </c>
      <c r="U25" s="165" t="n"/>
      <c r="V25" s="106" t="b">
        <v>1</v>
      </c>
      <c r="W25" s="211" t="inlineStr">
        <is>
          <t>d</t>
        </is>
      </c>
      <c r="X25" s="165" t="n"/>
      <c r="Y25" s="109" t="b">
        <v>0</v>
      </c>
      <c r="Z25" s="212" t="inlineStr">
        <is>
          <t>d</t>
        </is>
      </c>
      <c r="AA25" s="165" t="n"/>
      <c r="AB25" s="115" t="b">
        <v>1</v>
      </c>
      <c r="AC25" s="213" t="inlineStr">
        <is>
          <t>d</t>
        </is>
      </c>
      <c r="AD25" s="165" t="n"/>
      <c r="AJ25" s="183" t="n"/>
      <c r="AP25" s="165" t="n"/>
    </row>
    <row r="26">
      <c r="J26" s="90" t="b">
        <v>0</v>
      </c>
      <c r="K26" s="207" t="inlineStr">
        <is>
          <t>d</t>
        </is>
      </c>
      <c r="L26" s="165" t="n"/>
      <c r="M26" s="104" t="b">
        <v>1</v>
      </c>
      <c r="N26" s="208" t="n"/>
      <c r="O26" s="165" t="n"/>
      <c r="P26" s="117" t="b">
        <v>1</v>
      </c>
      <c r="Q26" s="209" t="n"/>
      <c r="R26" s="165" t="n"/>
      <c r="S26" s="105" t="b">
        <v>0</v>
      </c>
      <c r="T26" s="210" t="n"/>
      <c r="U26" s="165" t="n"/>
      <c r="V26" s="106" t="b">
        <v>0</v>
      </c>
      <c r="W26" s="211" t="n"/>
      <c r="X26" s="165" t="n"/>
      <c r="Y26" s="109" t="b">
        <v>0</v>
      </c>
      <c r="Z26" s="212" t="n"/>
      <c r="AA26" s="165" t="n"/>
      <c r="AB26" s="115" t="b">
        <v>0</v>
      </c>
      <c r="AC26" s="213" t="n"/>
      <c r="AD26" s="165" t="n"/>
      <c r="AJ26" s="183" t="n"/>
      <c r="AP26" s="165" t="n"/>
    </row>
    <row r="27">
      <c r="B27" s="4" t="n"/>
      <c r="C27" s="4" t="n"/>
      <c r="D27" s="4" t="n"/>
      <c r="E27" s="4" t="n"/>
      <c r="F27" s="4" t="n"/>
      <c r="G27" s="4" t="n"/>
      <c r="H27" s="4" t="n"/>
      <c r="J27" s="90" t="b">
        <v>0</v>
      </c>
      <c r="K27" s="207" t="inlineStr">
        <is>
          <t>ааа</t>
        </is>
      </c>
      <c r="L27" s="165" t="n"/>
      <c r="M27" s="104" t="b">
        <v>0</v>
      </c>
      <c r="N27" s="208" t="n"/>
      <c r="O27" s="165" t="n"/>
      <c r="P27" s="117" t="b">
        <v>0</v>
      </c>
      <c r="Q27" s="209" t="n"/>
      <c r="R27" s="165" t="n"/>
      <c r="S27" s="105" t="b">
        <v>0</v>
      </c>
      <c r="T27" s="210" t="n"/>
      <c r="U27" s="165" t="n"/>
      <c r="V27" s="106" t="b">
        <v>0</v>
      </c>
      <c r="W27" s="211" t="n"/>
      <c r="X27" s="165" t="n"/>
      <c r="Y27" s="109" t="b">
        <v>0</v>
      </c>
      <c r="Z27" s="212" t="n"/>
      <c r="AA27" s="165" t="n"/>
      <c r="AB27" s="115" t="b">
        <v>0</v>
      </c>
      <c r="AC27" s="213" t="n"/>
      <c r="AD27" s="165" t="n"/>
      <c r="AJ27" s="183" t="n"/>
      <c r="AP27" s="165" t="n"/>
    </row>
    <row r="28">
      <c r="B28" s="214" t="inlineStr">
        <is>
          <t>ВАЖНОЕ</t>
        </is>
      </c>
      <c r="C28" s="162" t="n"/>
      <c r="D28" s="162" t="n"/>
      <c r="E28" s="162" t="n"/>
      <c r="F28" s="162" t="n"/>
      <c r="G28" s="162" t="n"/>
      <c r="H28" s="163" t="n"/>
      <c r="J28" s="90" t="b">
        <v>0</v>
      </c>
      <c r="K28" s="207" t="n"/>
      <c r="L28" s="165" t="n"/>
      <c r="M28" s="104" t="b">
        <v>0</v>
      </c>
      <c r="N28" s="208" t="n"/>
      <c r="O28" s="165" t="n"/>
      <c r="P28" s="117" t="b">
        <v>0</v>
      </c>
      <c r="Q28" s="209" t="n"/>
      <c r="R28" s="165" t="n"/>
      <c r="S28" s="105" t="b">
        <v>0</v>
      </c>
      <c r="T28" s="210" t="n"/>
      <c r="U28" s="165" t="n"/>
      <c r="V28" s="106" t="b">
        <v>0</v>
      </c>
      <c r="W28" s="211" t="n"/>
      <c r="X28" s="165" t="n"/>
      <c r="Y28" s="109" t="b">
        <v>0</v>
      </c>
      <c r="Z28" s="212" t="n"/>
      <c r="AA28" s="165" t="n"/>
      <c r="AB28" s="115" t="b">
        <v>0</v>
      </c>
      <c r="AC28" s="213" t="n"/>
      <c r="AD28" s="165" t="n"/>
      <c r="AJ28" s="183" t="n"/>
      <c r="AP28" s="165" t="n"/>
    </row>
    <row r="29">
      <c r="B29" s="122" t="inlineStr">
        <is>
          <t>пппп</t>
        </is>
      </c>
      <c r="H29" s="123" t="b">
        <v>0</v>
      </c>
      <c r="J29" s="90" t="b">
        <v>0</v>
      </c>
      <c r="K29" s="207" t="n"/>
      <c r="L29" s="165" t="n"/>
      <c r="M29" s="104" t="b">
        <v>0</v>
      </c>
      <c r="N29" s="208" t="n"/>
      <c r="O29" s="165" t="n"/>
      <c r="P29" s="117" t="b">
        <v>0</v>
      </c>
      <c r="Q29" s="209" t="n"/>
      <c r="R29" s="165" t="n"/>
      <c r="S29" s="105" t="b">
        <v>0</v>
      </c>
      <c r="T29" s="210" t="n"/>
      <c r="U29" s="165" t="n"/>
      <c r="V29" s="106" t="b">
        <v>0</v>
      </c>
      <c r="W29" s="211" t="n"/>
      <c r="X29" s="165" t="n"/>
      <c r="Y29" s="109" t="b">
        <v>0</v>
      </c>
      <c r="Z29" s="212" t="n"/>
      <c r="AA29" s="165" t="n"/>
      <c r="AB29" s="115" t="b">
        <v>0</v>
      </c>
      <c r="AC29" s="213" t="n"/>
      <c r="AD29" s="165" t="n"/>
      <c r="AJ29" s="183" t="n"/>
      <c r="AP29" s="165" t="n"/>
    </row>
    <row r="30">
      <c r="B30" s="122" t="inlineStr">
        <is>
          <t>пппп</t>
        </is>
      </c>
      <c r="H30" s="123" t="b">
        <v>0</v>
      </c>
      <c r="J30" s="90" t="b">
        <v>0</v>
      </c>
      <c r="K30" s="207" t="n"/>
      <c r="L30" s="165" t="n"/>
      <c r="M30" s="104" t="b">
        <v>0</v>
      </c>
      <c r="N30" s="208" t="n"/>
      <c r="O30" s="165" t="n"/>
      <c r="P30" s="117" t="b">
        <v>0</v>
      </c>
      <c r="Q30" s="209" t="n"/>
      <c r="R30" s="165" t="n"/>
      <c r="S30" s="105" t="b">
        <v>0</v>
      </c>
      <c r="T30" s="210" t="n"/>
      <c r="U30" s="165" t="n"/>
      <c r="V30" s="106" t="b">
        <v>0</v>
      </c>
      <c r="W30" s="211" t="n"/>
      <c r="X30" s="165" t="n"/>
      <c r="Y30" s="109" t="b">
        <v>0</v>
      </c>
      <c r="Z30" s="212" t="n"/>
      <c r="AA30" s="165" t="n"/>
      <c r="AB30" s="115" t="b">
        <v>0</v>
      </c>
      <c r="AC30" s="213" t="n"/>
      <c r="AD30" s="165" t="n"/>
      <c r="AJ30" s="183" t="n"/>
      <c r="AP30" s="165" t="n"/>
    </row>
    <row r="31">
      <c r="B31" s="122" t="inlineStr">
        <is>
          <t>ссмисми</t>
        </is>
      </c>
      <c r="H31" s="123" t="b">
        <v>0</v>
      </c>
      <c r="J31" s="90" t="b">
        <v>0</v>
      </c>
      <c r="K31" s="207" t="n"/>
      <c r="L31" s="165" t="n"/>
      <c r="M31" s="104" t="b">
        <v>0</v>
      </c>
      <c r="N31" s="208" t="n"/>
      <c r="O31" s="165" t="n"/>
      <c r="P31" s="117" t="b">
        <v>0</v>
      </c>
      <c r="Q31" s="209" t="n"/>
      <c r="R31" s="165" t="n"/>
      <c r="S31" s="105" t="b">
        <v>0</v>
      </c>
      <c r="T31" s="210" t="n"/>
      <c r="U31" s="165" t="n"/>
      <c r="V31" s="106" t="b">
        <v>0</v>
      </c>
      <c r="W31" s="211" t="n"/>
      <c r="X31" s="165" t="n"/>
      <c r="Y31" s="109" t="b">
        <v>0</v>
      </c>
      <c r="Z31" s="212" t="n"/>
      <c r="AA31" s="165" t="n"/>
      <c r="AB31" s="115" t="b">
        <v>0</v>
      </c>
      <c r="AC31" s="213" t="n"/>
      <c r="AD31" s="165" t="n"/>
      <c r="AJ31" s="183" t="n"/>
      <c r="AP31" s="165" t="n"/>
    </row>
    <row r="32">
      <c r="B32" s="122" t="n"/>
      <c r="H32" s="123" t="b">
        <v>0</v>
      </c>
      <c r="J32" s="90" t="b">
        <v>0</v>
      </c>
      <c r="K32" s="207" t="n"/>
      <c r="L32" s="165" t="n"/>
      <c r="M32" s="104" t="b">
        <v>0</v>
      </c>
      <c r="N32" s="208" t="n"/>
      <c r="O32" s="165" t="n"/>
      <c r="P32" s="117" t="b">
        <v>0</v>
      </c>
      <c r="Q32" s="209" t="n"/>
      <c r="R32" s="165" t="n"/>
      <c r="S32" s="105" t="b">
        <v>0</v>
      </c>
      <c r="T32" s="210" t="n"/>
      <c r="U32" s="165" t="n"/>
      <c r="V32" s="106" t="b">
        <v>0</v>
      </c>
      <c r="W32" s="211" t="n"/>
      <c r="X32" s="165" t="n"/>
      <c r="Y32" s="109" t="b">
        <v>0</v>
      </c>
      <c r="Z32" s="212" t="n"/>
      <c r="AA32" s="165" t="n"/>
      <c r="AB32" s="115" t="b">
        <v>0</v>
      </c>
      <c r="AC32" s="213" t="n"/>
      <c r="AD32" s="165" t="n"/>
      <c r="AJ32" s="183" t="n"/>
      <c r="AP32" s="165" t="n"/>
    </row>
    <row r="33">
      <c r="B33" s="122" t="n"/>
      <c r="H33" s="123" t="b">
        <v>0</v>
      </c>
      <c r="J33" s="90" t="b">
        <v>0</v>
      </c>
      <c r="K33" s="207" t="n"/>
      <c r="L33" s="165" t="n"/>
      <c r="M33" s="104" t="b">
        <v>0</v>
      </c>
      <c r="N33" s="208" t="n"/>
      <c r="O33" s="165" t="n"/>
      <c r="P33" s="117" t="b">
        <v>0</v>
      </c>
      <c r="Q33" s="209" t="n"/>
      <c r="R33" s="165" t="n"/>
      <c r="S33" s="105" t="b">
        <v>0</v>
      </c>
      <c r="T33" s="210" t="n"/>
      <c r="U33" s="165" t="n"/>
      <c r="V33" s="106" t="b">
        <v>0</v>
      </c>
      <c r="W33" s="211" t="n"/>
      <c r="X33" s="165" t="n"/>
      <c r="Y33" s="109" t="b">
        <v>0</v>
      </c>
      <c r="Z33" s="212" t="n"/>
      <c r="AA33" s="165" t="n"/>
      <c r="AB33" s="115" t="b">
        <v>0</v>
      </c>
      <c r="AC33" s="213" t="n"/>
      <c r="AD33" s="165" t="n"/>
      <c r="AJ33" s="183" t="n"/>
      <c r="AP33" s="165" t="n"/>
    </row>
    <row r="34">
      <c r="B34" s="122" t="n"/>
      <c r="H34" s="123" t="b">
        <v>0</v>
      </c>
      <c r="J34" s="124" t="b">
        <v>0</v>
      </c>
      <c r="K34" s="215" t="n"/>
      <c r="L34" s="175" t="n"/>
      <c r="M34" s="126" t="b">
        <v>0</v>
      </c>
      <c r="N34" s="216" t="n"/>
      <c r="O34" s="175" t="n"/>
      <c r="P34" s="128" t="b">
        <v>0</v>
      </c>
      <c r="Q34" s="217" t="n"/>
      <c r="R34" s="175" t="n"/>
      <c r="S34" s="130" t="b">
        <v>0</v>
      </c>
      <c r="T34" s="218" t="n"/>
      <c r="U34" s="175" t="n"/>
      <c r="V34" s="132" t="b">
        <v>0</v>
      </c>
      <c r="W34" s="219" t="n"/>
      <c r="X34" s="175" t="n"/>
      <c r="Y34" s="134" t="b">
        <v>0</v>
      </c>
      <c r="Z34" s="220" t="n"/>
      <c r="AA34" s="175" t="n"/>
      <c r="AB34" s="136" t="b">
        <v>0</v>
      </c>
      <c r="AC34" s="221" t="n"/>
      <c r="AD34" s="175" t="n"/>
      <c r="AJ34" s="183" t="n"/>
      <c r="AP34" s="165" t="n"/>
    </row>
    <row r="35">
      <c r="B35" s="122" t="n"/>
      <c r="H35" s="123" t="b">
        <v>0</v>
      </c>
      <c r="J35" s="200" t="inlineStr">
        <is>
          <t>Заметки</t>
        </is>
      </c>
      <c r="K35" s="162" t="n"/>
      <c r="L35" s="163" t="n"/>
      <c r="M35" s="201" t="inlineStr">
        <is>
          <t>Заметки</t>
        </is>
      </c>
      <c r="N35" s="162" t="n"/>
      <c r="O35" s="163" t="n"/>
      <c r="P35" s="202" t="inlineStr">
        <is>
          <t>Заметки</t>
        </is>
      </c>
      <c r="Q35" s="162" t="n"/>
      <c r="R35" s="163" t="n"/>
      <c r="S35" s="203" t="inlineStr">
        <is>
          <t>Заметки</t>
        </is>
      </c>
      <c r="T35" s="162" t="n"/>
      <c r="U35" s="163" t="n"/>
      <c r="V35" s="204" t="inlineStr">
        <is>
          <t>Заметки</t>
        </is>
      </c>
      <c r="W35" s="162" t="n"/>
      <c r="X35" s="163" t="n"/>
      <c r="Y35" s="205" t="inlineStr">
        <is>
          <t>Заметки</t>
        </is>
      </c>
      <c r="Z35" s="162" t="n"/>
      <c r="AA35" s="163" t="n"/>
      <c r="AB35" s="206" t="inlineStr">
        <is>
          <t>Заметки</t>
        </is>
      </c>
      <c r="AC35" s="162" t="n"/>
      <c r="AD35" s="163" t="n"/>
      <c r="AJ35" s="183" t="n"/>
      <c r="AP35" s="165" t="n"/>
    </row>
    <row r="36">
      <c r="B36" s="122" t="n"/>
      <c r="H36" s="123" t="b">
        <v>0</v>
      </c>
      <c r="J36" s="222" t="n"/>
      <c r="K36" s="162" t="n"/>
      <c r="L36" s="163" t="n"/>
      <c r="M36" s="223" t="n"/>
      <c r="N36" s="162" t="n"/>
      <c r="O36" s="163" t="n"/>
      <c r="P36" s="224" t="n"/>
      <c r="Q36" s="162" t="n"/>
      <c r="R36" s="163" t="n"/>
      <c r="S36" s="225" t="n"/>
      <c r="T36" s="162" t="n"/>
      <c r="U36" s="163" t="n"/>
      <c r="V36" s="226" t="n"/>
      <c r="W36" s="162" t="n"/>
      <c r="X36" s="163" t="n"/>
      <c r="Y36" s="227" t="n"/>
      <c r="Z36" s="162" t="n"/>
      <c r="AA36" s="163" t="n"/>
      <c r="AB36" s="228" t="n"/>
      <c r="AC36" s="162" t="n"/>
      <c r="AD36" s="163" t="n"/>
      <c r="AJ36" s="183" t="n"/>
      <c r="AP36" s="165" t="n"/>
    </row>
    <row r="37">
      <c r="B37" s="122" t="n"/>
      <c r="H37" s="123" t="b">
        <v>0</v>
      </c>
      <c r="J37" s="222" t="n"/>
      <c r="K37" s="162" t="n"/>
      <c r="L37" s="163" t="n"/>
      <c r="M37" s="223" t="n"/>
      <c r="N37" s="162" t="n"/>
      <c r="O37" s="163" t="n"/>
      <c r="P37" s="224" t="n"/>
      <c r="Q37" s="162" t="n"/>
      <c r="R37" s="163" t="n"/>
      <c r="S37" s="225" t="n"/>
      <c r="T37" s="162" t="n"/>
      <c r="U37" s="163" t="n"/>
      <c r="V37" s="226" t="n"/>
      <c r="W37" s="162" t="n"/>
      <c r="X37" s="163" t="n"/>
      <c r="Y37" s="227" t="n"/>
      <c r="Z37" s="162" t="n"/>
      <c r="AA37" s="163" t="n"/>
      <c r="AB37" s="228" t="n"/>
      <c r="AC37" s="162" t="n"/>
      <c r="AD37" s="163" t="n"/>
      <c r="AJ37" s="183" t="n"/>
      <c r="AP37" s="165" t="n"/>
    </row>
    <row r="38">
      <c r="B38" s="122" t="n"/>
      <c r="H38" s="123" t="b">
        <v>0</v>
      </c>
      <c r="J38" s="222" t="n"/>
      <c r="K38" s="162" t="n"/>
      <c r="L38" s="163" t="n"/>
      <c r="M38" s="223" t="n"/>
      <c r="N38" s="162" t="n"/>
      <c r="O38" s="163" t="n"/>
      <c r="P38" s="224" t="n"/>
      <c r="Q38" s="162" t="n"/>
      <c r="R38" s="163" t="n"/>
      <c r="S38" s="225" t="n"/>
      <c r="T38" s="162" t="n"/>
      <c r="U38" s="163" t="n"/>
      <c r="V38" s="226" t="n"/>
      <c r="W38" s="162" t="n"/>
      <c r="X38" s="163" t="n"/>
      <c r="Y38" s="227" t="n"/>
      <c r="Z38" s="162" t="n"/>
      <c r="AA38" s="163" t="n"/>
      <c r="AB38" s="228" t="n"/>
      <c r="AC38" s="162" t="n"/>
      <c r="AD38" s="163" t="n"/>
      <c r="AJ38" s="183" t="n"/>
      <c r="AP38" s="165" t="n"/>
    </row>
    <row r="39">
      <c r="B39" s="122" t="n"/>
      <c r="H39" s="123" t="b">
        <v>0</v>
      </c>
      <c r="J39" s="222" t="n"/>
      <c r="K39" s="162" t="n"/>
      <c r="L39" s="163" t="n"/>
      <c r="M39" s="223" t="n"/>
      <c r="N39" s="162" t="n"/>
      <c r="O39" s="163" t="n"/>
      <c r="P39" s="224" t="n"/>
      <c r="Q39" s="162" t="n"/>
      <c r="R39" s="163" t="n"/>
      <c r="S39" s="225" t="n"/>
      <c r="T39" s="162" t="n"/>
      <c r="U39" s="163" t="n"/>
      <c r="V39" s="226" t="n"/>
      <c r="W39" s="162" t="n"/>
      <c r="X39" s="163" t="n"/>
      <c r="Y39" s="227" t="n"/>
      <c r="Z39" s="162" t="n"/>
      <c r="AA39" s="163" t="n"/>
      <c r="AB39" s="228" t="n"/>
      <c r="AC39" s="162" t="n"/>
      <c r="AD39" s="163" t="n"/>
      <c r="AJ39" s="183" t="n"/>
      <c r="AP39" s="165" t="n"/>
    </row>
    <row r="40">
      <c r="B40" s="122" t="n"/>
      <c r="H40" s="123" t="b">
        <v>0</v>
      </c>
      <c r="J40" s="222" t="n"/>
      <c r="K40" s="162" t="n"/>
      <c r="L40" s="163" t="n"/>
      <c r="M40" s="223" t="n"/>
      <c r="N40" s="162" t="n"/>
      <c r="O40" s="163" t="n"/>
      <c r="P40" s="224" t="n"/>
      <c r="Q40" s="162" t="n"/>
      <c r="R40" s="163" t="n"/>
      <c r="S40" s="225" t="n"/>
      <c r="T40" s="162" t="n"/>
      <c r="U40" s="163" t="n"/>
      <c r="V40" s="226" t="n"/>
      <c r="W40" s="162" t="n"/>
      <c r="X40" s="163" t="n"/>
      <c r="Y40" s="227" t="n"/>
      <c r="Z40" s="162" t="n"/>
      <c r="AA40" s="163" t="n"/>
      <c r="AB40" s="228" t="n"/>
      <c r="AC40" s="162" t="n"/>
      <c r="AD40" s="163" t="n"/>
      <c r="AJ40" s="183" t="n"/>
      <c r="AP40" s="165" t="n"/>
    </row>
    <row r="41">
      <c r="B41" s="122" t="n"/>
      <c r="H41" s="123" t="b">
        <v>0</v>
      </c>
      <c r="J41" s="222" t="n"/>
      <c r="K41" s="162" t="n"/>
      <c r="L41" s="163" t="n"/>
      <c r="M41" s="223" t="n"/>
      <c r="N41" s="162" t="n"/>
      <c r="O41" s="163" t="n"/>
      <c r="P41" s="224" t="n"/>
      <c r="Q41" s="162" t="n"/>
      <c r="R41" s="163" t="n"/>
      <c r="S41" s="225" t="n"/>
      <c r="T41" s="162" t="n"/>
      <c r="U41" s="163" t="n"/>
      <c r="V41" s="226" t="n"/>
      <c r="W41" s="162" t="n"/>
      <c r="X41" s="163" t="n"/>
      <c r="Y41" s="227" t="n"/>
      <c r="Z41" s="162" t="n"/>
      <c r="AA41" s="163" t="n"/>
      <c r="AB41" s="228" t="n"/>
      <c r="AC41" s="162" t="n"/>
      <c r="AD41" s="163" t="n"/>
      <c r="AJ41" s="183" t="n"/>
      <c r="AP41" s="165" t="n"/>
    </row>
    <row r="42">
      <c r="B42" s="145" t="n"/>
      <c r="C42" s="174" t="n"/>
      <c r="D42" s="174" t="n"/>
      <c r="E42" s="174" t="n"/>
      <c r="F42" s="174" t="n"/>
      <c r="G42" s="174" t="n"/>
      <c r="H42" s="146" t="b">
        <v>0</v>
      </c>
      <c r="J42" s="222" t="n"/>
      <c r="K42" s="162" t="n"/>
      <c r="L42" s="163" t="n"/>
      <c r="M42" s="223" t="n"/>
      <c r="N42" s="162" t="n"/>
      <c r="O42" s="163" t="n"/>
      <c r="P42" s="224" t="n"/>
      <c r="Q42" s="162" t="n"/>
      <c r="R42" s="163" t="n"/>
      <c r="S42" s="225" t="n"/>
      <c r="T42" s="162" t="n"/>
      <c r="U42" s="163" t="n"/>
      <c r="V42" s="226" t="n"/>
      <c r="W42" s="162" t="n"/>
      <c r="X42" s="163" t="n"/>
      <c r="Y42" s="227" t="n"/>
      <c r="Z42" s="162" t="n"/>
      <c r="AA42" s="163" t="n"/>
      <c r="AB42" s="228" t="n"/>
      <c r="AC42" s="162" t="n"/>
      <c r="AD42" s="163" t="n"/>
      <c r="AJ42" s="147">
        <f>COUNTIF(AJ4:AJ14,TRUE)/COUNTA(AJ4:AJ14)</f>
        <v/>
      </c>
      <c r="AK42" s="148">
        <f>COUNTIF(AK4:AK14,TRUE)/COUNTA(AK4:AK14)</f>
        <v/>
      </c>
      <c r="AL42" s="148">
        <f>COUNTIF(AL4:AL14,TRUE)/COUNTA(AL4:AL14)</f>
        <v/>
      </c>
      <c r="AM42" s="148">
        <f>COUNTIF(AM4:AM14,TRUE)/COUNTA(AM4:AM14)</f>
        <v/>
      </c>
      <c r="AN42" s="148">
        <f>COUNTIF(AN4:AN14,TRUE)/COUNTA(AN4:AN14)</f>
        <v/>
      </c>
      <c r="AO42" s="148">
        <f>COUNTIF(AO4:AO14,TRUE)/COUNTA(AO4:AO14)</f>
        <v/>
      </c>
      <c r="AP42" s="149">
        <f>COUNTIF(AP4:AP14,TRUE)/COUNTA(AP4:AP14)</f>
        <v/>
      </c>
    </row>
    <row r="43">
      <c r="B43" s="4" t="n"/>
      <c r="C43" s="4" t="n"/>
      <c r="D43" s="4" t="n"/>
      <c r="E43" s="4" t="n"/>
      <c r="F43" s="4" t="n"/>
      <c r="G43" s="4" t="n"/>
      <c r="H43" s="4" t="n"/>
    </row>
  </sheetData>
  <mergeCells count="293">
    <mergeCell ref="V10:X10"/>
    <mergeCell ref="Y11:AA11"/>
    <mergeCell ref="Q21:R21"/>
    <mergeCell ref="N20:O20"/>
    <mergeCell ref="P2:R2"/>
    <mergeCell ref="K24:L24"/>
    <mergeCell ref="AC32:AD32"/>
    <mergeCell ref="S37:U37"/>
    <mergeCell ref="K33:L33"/>
    <mergeCell ref="M40:O40"/>
    <mergeCell ref="P36:R36"/>
    <mergeCell ref="AF7:AI7"/>
    <mergeCell ref="W24:X24"/>
    <mergeCell ref="AB36:AD36"/>
    <mergeCell ref="J35:L35"/>
    <mergeCell ref="Y40:AA40"/>
    <mergeCell ref="V39:X39"/>
    <mergeCell ref="N22:O22"/>
    <mergeCell ref="K26:L26"/>
    <mergeCell ref="J11:L11"/>
    <mergeCell ref="AB11:AD11"/>
    <mergeCell ref="S15:U15"/>
    <mergeCell ref="W26:X26"/>
    <mergeCell ref="V36:X36"/>
    <mergeCell ref="AC24:AD24"/>
    <mergeCell ref="M41:O41"/>
    <mergeCell ref="AC33:AD33"/>
    <mergeCell ref="P37:R37"/>
    <mergeCell ref="Q26:R26"/>
    <mergeCell ref="B3:H3"/>
    <mergeCell ref="J3:L3"/>
    <mergeCell ref="Z21:AA21"/>
    <mergeCell ref="AC26:AD26"/>
    <mergeCell ref="AB37:AD37"/>
    <mergeCell ref="B36:G36"/>
    <mergeCell ref="N29:O29"/>
    <mergeCell ref="S41:U41"/>
    <mergeCell ref="V37:X37"/>
    <mergeCell ref="AL15:AL41"/>
    <mergeCell ref="AC19:AD19"/>
    <mergeCell ref="AC25:AD25"/>
    <mergeCell ref="B2:H2"/>
    <mergeCell ref="Z23:AA23"/>
    <mergeCell ref="AN15:AN41"/>
    <mergeCell ref="Z29:AA29"/>
    <mergeCell ref="P13:Q13"/>
    <mergeCell ref="J39:L39"/>
    <mergeCell ref="Q27:R27"/>
    <mergeCell ref="N31:O31"/>
    <mergeCell ref="P38:R38"/>
    <mergeCell ref="AB15:AD15"/>
    <mergeCell ref="AB13:AC13"/>
    <mergeCell ref="Q30:R30"/>
    <mergeCell ref="J38:L38"/>
    <mergeCell ref="Q17:R17"/>
    <mergeCell ref="B31:G31"/>
    <mergeCell ref="N24:O24"/>
    <mergeCell ref="S42:U42"/>
    <mergeCell ref="K28:L28"/>
    <mergeCell ref="P40:R40"/>
    <mergeCell ref="M39:O39"/>
    <mergeCell ref="S3:U3"/>
    <mergeCell ref="Z24:AA24"/>
    <mergeCell ref="AF12:AI12"/>
    <mergeCell ref="J40:L40"/>
    <mergeCell ref="AK15:AK41"/>
    <mergeCell ref="T27:U27"/>
    <mergeCell ref="Y39:AA39"/>
    <mergeCell ref="S11:U11"/>
    <mergeCell ref="AB40:AD40"/>
    <mergeCell ref="M2:O2"/>
    <mergeCell ref="B39:G39"/>
    <mergeCell ref="J15:L15"/>
    <mergeCell ref="N26:O26"/>
    <mergeCell ref="M11:O11"/>
    <mergeCell ref="K30:L30"/>
    <mergeCell ref="Y2:AA2"/>
    <mergeCell ref="T24:U24"/>
    <mergeCell ref="T33:U33"/>
    <mergeCell ref="N16:O16"/>
    <mergeCell ref="S12:T12"/>
    <mergeCell ref="B6:H6"/>
    <mergeCell ref="N25:O25"/>
    <mergeCell ref="Z27:AA27"/>
    <mergeCell ref="AC28:AD28"/>
    <mergeCell ref="M15:O15"/>
    <mergeCell ref="K21:L21"/>
    <mergeCell ref="AM15:AM41"/>
    <mergeCell ref="J41:L41"/>
    <mergeCell ref="AB2:AD2"/>
    <mergeCell ref="Z25:AA25"/>
    <mergeCell ref="AC30:AD30"/>
    <mergeCell ref="M37:O37"/>
    <mergeCell ref="Q29:R29"/>
    <mergeCell ref="T25:U25"/>
    <mergeCell ref="V41:X41"/>
    <mergeCell ref="Y37:AA37"/>
    <mergeCell ref="Q23:R23"/>
    <mergeCell ref="K32:L32"/>
    <mergeCell ref="T18:U18"/>
    <mergeCell ref="AQ15:AQ41"/>
    <mergeCell ref="Z22:AA22"/>
    <mergeCell ref="AC23:AD23"/>
    <mergeCell ref="W32:X32"/>
    <mergeCell ref="S13:T13"/>
    <mergeCell ref="P3:R3"/>
    <mergeCell ref="B33:G33"/>
    <mergeCell ref="Q31:R31"/>
    <mergeCell ref="M13:N13"/>
    <mergeCell ref="J2:L2"/>
    <mergeCell ref="M38:O38"/>
    <mergeCell ref="W16:X16"/>
    <mergeCell ref="AB12:AC12"/>
    <mergeCell ref="J42:L42"/>
    <mergeCell ref="Y41:AA41"/>
    <mergeCell ref="AB42:AD42"/>
    <mergeCell ref="B41:G41"/>
    <mergeCell ref="AB3:AD3"/>
    <mergeCell ref="B35:G35"/>
    <mergeCell ref="K27:L27"/>
    <mergeCell ref="N28:O28"/>
    <mergeCell ref="V3:X3"/>
    <mergeCell ref="T22:U22"/>
    <mergeCell ref="W18:X18"/>
    <mergeCell ref="W27:X27"/>
    <mergeCell ref="T31:U31"/>
    <mergeCell ref="K17:L17"/>
    <mergeCell ref="N30:O30"/>
    <mergeCell ref="J12:K12"/>
    <mergeCell ref="W17:X17"/>
    <mergeCell ref="AF9:AI9"/>
    <mergeCell ref="J37:L37"/>
    <mergeCell ref="K19:L19"/>
    <mergeCell ref="P14:Q14"/>
    <mergeCell ref="AC27:AD27"/>
    <mergeCell ref="Z31:AA31"/>
    <mergeCell ref="M35:O35"/>
    <mergeCell ref="W19:X19"/>
    <mergeCell ref="AF14:AI14"/>
    <mergeCell ref="S2:U2"/>
    <mergeCell ref="B28:H28"/>
    <mergeCell ref="AF11:AI11"/>
    <mergeCell ref="Y35:AA35"/>
    <mergeCell ref="AC17:AD17"/>
    <mergeCell ref="K16:L16"/>
    <mergeCell ref="K25:L25"/>
    <mergeCell ref="W34:X34"/>
    <mergeCell ref="Y10:AA10"/>
    <mergeCell ref="T29:U29"/>
    <mergeCell ref="W25:X25"/>
    <mergeCell ref="N32:O32"/>
    <mergeCell ref="Q28:R28"/>
    <mergeCell ref="V40:X40"/>
    <mergeCell ref="Z32:AA32"/>
    <mergeCell ref="V15:X15"/>
    <mergeCell ref="Z26:AA26"/>
    <mergeCell ref="B29:G29"/>
    <mergeCell ref="V13:W13"/>
    <mergeCell ref="W30:X30"/>
    <mergeCell ref="B38:G38"/>
    <mergeCell ref="K29:L29"/>
    <mergeCell ref="W20:X20"/>
    <mergeCell ref="Z16:AA16"/>
    <mergeCell ref="AF13:AI13"/>
    <mergeCell ref="M42:O42"/>
    <mergeCell ref="B4:H4"/>
    <mergeCell ref="AB38:AD38"/>
    <mergeCell ref="Q20:R20"/>
    <mergeCell ref="Y14:Z14"/>
    <mergeCell ref="M3:O3"/>
    <mergeCell ref="S36:U36"/>
    <mergeCell ref="S14:T14"/>
    <mergeCell ref="B40:G40"/>
    <mergeCell ref="N18:O18"/>
    <mergeCell ref="K31:L31"/>
    <mergeCell ref="N33:O33"/>
    <mergeCell ref="P4:R9"/>
    <mergeCell ref="W22:X22"/>
    <mergeCell ref="Z18:AA18"/>
    <mergeCell ref="W31:X31"/>
    <mergeCell ref="N17:O17"/>
    <mergeCell ref="AC29:AD29"/>
    <mergeCell ref="AB10:AD10"/>
    <mergeCell ref="M12:N12"/>
    <mergeCell ref="P42:R42"/>
    <mergeCell ref="Z17:AA17"/>
    <mergeCell ref="W21:X21"/>
    <mergeCell ref="B32:G32"/>
    <mergeCell ref="V4:X9"/>
    <mergeCell ref="N19:O19"/>
    <mergeCell ref="Y42:AA42"/>
    <mergeCell ref="K23:L23"/>
    <mergeCell ref="AC31:AD31"/>
    <mergeCell ref="Y13:Z13"/>
    <mergeCell ref="AF10:AI10"/>
    <mergeCell ref="T17:U17"/>
    <mergeCell ref="P35:R35"/>
    <mergeCell ref="V2:X2"/>
    <mergeCell ref="Y38:AA38"/>
    <mergeCell ref="V42:X42"/>
    <mergeCell ref="AF6:AI6"/>
    <mergeCell ref="Z20:AA20"/>
    <mergeCell ref="J10:L10"/>
    <mergeCell ref="AC21:AD21"/>
    <mergeCell ref="P12:Q12"/>
    <mergeCell ref="Z34:AA34"/>
    <mergeCell ref="Y15:AA15"/>
    <mergeCell ref="Z28:AA28"/>
    <mergeCell ref="T19:U19"/>
    <mergeCell ref="T34:U34"/>
    <mergeCell ref="Q32:R32"/>
    <mergeCell ref="T28:U28"/>
    <mergeCell ref="V35:X35"/>
    <mergeCell ref="B16:H17"/>
    <mergeCell ref="AO15:AO41"/>
    <mergeCell ref="K18:L18"/>
    <mergeCell ref="AF5:AI5"/>
    <mergeCell ref="Z30:AA30"/>
    <mergeCell ref="Q16:R16"/>
    <mergeCell ref="V12:W12"/>
    <mergeCell ref="S38:U38"/>
    <mergeCell ref="B42:G42"/>
    <mergeCell ref="M10:O10"/>
    <mergeCell ref="Q25:R25"/>
    <mergeCell ref="P11:R11"/>
    <mergeCell ref="T30:U30"/>
    <mergeCell ref="AC16:AD16"/>
    <mergeCell ref="AF8:AI8"/>
    <mergeCell ref="J14:K14"/>
    <mergeCell ref="K34:L34"/>
    <mergeCell ref="J36:L36"/>
    <mergeCell ref="T20:U20"/>
    <mergeCell ref="AB14:AC14"/>
    <mergeCell ref="T32:U32"/>
    <mergeCell ref="Q24:R24"/>
    <mergeCell ref="AP15:AP41"/>
    <mergeCell ref="W33:X33"/>
    <mergeCell ref="V14:W14"/>
    <mergeCell ref="Q18:R18"/>
    <mergeCell ref="S40:U40"/>
    <mergeCell ref="AJ15:AJ41"/>
    <mergeCell ref="J13:K13"/>
    <mergeCell ref="Q33:R33"/>
    <mergeCell ref="S4:U9"/>
    <mergeCell ref="P39:R39"/>
    <mergeCell ref="AC18:AD18"/>
    <mergeCell ref="S10:U10"/>
    <mergeCell ref="AB39:AD39"/>
    <mergeCell ref="B34:G34"/>
    <mergeCell ref="V11:X11"/>
    <mergeCell ref="K20:L20"/>
    <mergeCell ref="N21:O21"/>
    <mergeCell ref="B37:G37"/>
    <mergeCell ref="M36:O36"/>
    <mergeCell ref="M4:O9"/>
    <mergeCell ref="Y36:AA36"/>
    <mergeCell ref="Y4:AA9"/>
    <mergeCell ref="Q19:R19"/>
    <mergeCell ref="B30:G30"/>
    <mergeCell ref="K22:L22"/>
    <mergeCell ref="N23:O23"/>
    <mergeCell ref="S35:U35"/>
    <mergeCell ref="T21:U21"/>
    <mergeCell ref="AJ2:AP2"/>
    <mergeCell ref="Q34:R34"/>
    <mergeCell ref="P15:R15"/>
    <mergeCell ref="T26:U26"/>
    <mergeCell ref="AC20:AD20"/>
    <mergeCell ref="AC34:AD34"/>
    <mergeCell ref="W28:X28"/>
    <mergeCell ref="Z33:AA33"/>
    <mergeCell ref="AF4:AI4"/>
    <mergeCell ref="AB4:AD9"/>
    <mergeCell ref="Q22:R22"/>
    <mergeCell ref="T23:U23"/>
    <mergeCell ref="Y3:AA3"/>
    <mergeCell ref="AC22:AD22"/>
    <mergeCell ref="T16:U16"/>
    <mergeCell ref="Y12:Z12"/>
    <mergeCell ref="V38:X38"/>
    <mergeCell ref="N34:O34"/>
    <mergeCell ref="P10:R10"/>
    <mergeCell ref="P41:R41"/>
    <mergeCell ref="M14:N14"/>
    <mergeCell ref="B18:H26"/>
    <mergeCell ref="Z19:AA19"/>
    <mergeCell ref="AB41:AD41"/>
    <mergeCell ref="W23:X23"/>
    <mergeCell ref="W29:X29"/>
    <mergeCell ref="AB35:AD35"/>
    <mergeCell ref="J4:L9"/>
    <mergeCell ref="N27:O27"/>
    <mergeCell ref="S39:U39"/>
  </mergeCells>
  <conditionalFormatting sqref="B8:H13">
    <cfRule type="expression" priority="1" dxfId="0">
      <formula>MONTH(B8) &lt;&gt; MATCH($B$6, {"Январь";"Февраль";"Март";"Апрель";"Май";"Июнь";"Июль";"Август";"Сентябрь";"Октябрь";"Ноябрь";"Декабрь"}, 0)</formula>
    </cfRule>
    <cfRule type="timePeriod" priority="2" dxfId="1" timePeriod="today"/>
  </conditionalFormatting>
  <conditionalFormatting sqref="J3:AD3">
    <cfRule type="timePeriod" priority="3" dxfId="2" timePeriod="today"/>
  </conditionalFormatting>
  <conditionalFormatting sqref="J16:L34">
    <cfRule type="expression" priority="4" dxfId="3">
      <formula>$J16=TRUE()</formula>
    </cfRule>
  </conditionalFormatting>
  <conditionalFormatting sqref="M16:O34">
    <cfRule type="expression" priority="5" dxfId="4">
      <formula>$M16=TRUE()</formula>
    </cfRule>
  </conditionalFormatting>
  <conditionalFormatting sqref="P16:R34">
    <cfRule type="expression" priority="6" dxfId="5">
      <formula>$P16=TRUE()</formula>
    </cfRule>
  </conditionalFormatting>
  <conditionalFormatting sqref="S16:U34">
    <cfRule type="expression" priority="7" dxfId="6">
      <formula>$S16=TRUE()</formula>
    </cfRule>
  </conditionalFormatting>
  <conditionalFormatting sqref="V16:X34">
    <cfRule type="expression" priority="8" dxfId="7">
      <formula>$V16=TRUE()</formula>
    </cfRule>
  </conditionalFormatting>
  <conditionalFormatting sqref="Y16:AA34">
    <cfRule type="expression" priority="9" dxfId="8">
      <formula>$Y16=TRUE()</formula>
    </cfRule>
  </conditionalFormatting>
  <conditionalFormatting sqref="AB16:AD34">
    <cfRule type="expression" priority="10" dxfId="9">
      <formula>$AB16=TRUE()</formula>
    </cfRule>
  </conditionalFormatting>
  <conditionalFormatting sqref="B29:H29">
    <cfRule type="expression" priority="11" dxfId="10">
      <formula>$H29=TRUE</formula>
    </cfRule>
  </conditionalFormatting>
  <dataValidations count="1">
    <dataValidation sqref="B6" showDropDown="0" showInputMessage="0" showErrorMessage="1" allowBlank="1" type="list">
      <formula1>'2026'!$B$1:$B$12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style="150" min="1" max="1"/>
    <col width="16" customWidth="1" style="150" min="2" max="2"/>
    <col width="12" customWidth="1" style="150" min="3" max="3"/>
    <col width="12" customWidth="1" style="150" min="4" max="4"/>
    <col width="12" customWidth="1" style="150" min="5" max="5"/>
    <col width="12" customWidth="1" style="150" min="6" max="6"/>
    <col width="16" customWidth="1" style="150" min="7" max="7"/>
  </cols>
  <sheetData>
    <row r="1" ht="24" customHeight="1" s="150">
      <c r="A1" s="229" t="inlineStr">
        <is>
          <t>Ежемесячник — черновик</t>
        </is>
      </c>
    </row>
    <row r="2">
      <c r="A2" s="230" t="inlineStr">
        <is>
          <t>Месяц:</t>
        </is>
      </c>
      <c r="B2" t="inlineStr"/>
    </row>
    <row r="4" ht="28" customHeight="1" s="150">
      <c r="A4" s="231" t="inlineStr">
        <is>
          <t>Привычка</t>
        </is>
      </c>
      <c r="B4" s="231" t="inlineStr">
        <is>
          <t>Цель (неделя)</t>
        </is>
      </c>
      <c r="C4" s="231" t="inlineStr">
        <is>
          <t>Нед 1 %</t>
        </is>
      </c>
      <c r="D4" s="231" t="inlineStr">
        <is>
          <t>Нед 2 %</t>
        </is>
      </c>
      <c r="E4" s="231" t="inlineStr">
        <is>
          <t>Нед 3 %</t>
        </is>
      </c>
      <c r="F4" s="231" t="inlineStr">
        <is>
          <t>Нед 4 %</t>
        </is>
      </c>
      <c r="G4" s="231" t="inlineStr">
        <is>
          <t>Итог месяца %</t>
        </is>
      </c>
    </row>
    <row r="5">
      <c r="A5" s="232" t="inlineStr">
        <is>
          <t>Привычка 1</t>
        </is>
      </c>
      <c r="B5" s="232" t="inlineStr"/>
      <c r="C5" s="232" t="inlineStr"/>
      <c r="D5" s="232" t="inlineStr"/>
      <c r="E5" s="232" t="inlineStr"/>
      <c r="F5" s="232" t="inlineStr"/>
      <c r="G5" s="232">
        <f>IF(COUNT(C5:F5)=0,"",AVERAGE(C5:F5))</f>
        <v/>
      </c>
    </row>
    <row r="6">
      <c r="A6" s="232" t="inlineStr">
        <is>
          <t>Привычка 2</t>
        </is>
      </c>
      <c r="B6" s="232" t="inlineStr"/>
      <c r="C6" s="232" t="inlineStr"/>
      <c r="D6" s="232" t="inlineStr"/>
      <c r="E6" s="232" t="inlineStr"/>
      <c r="F6" s="232" t="inlineStr"/>
      <c r="G6" s="232">
        <f>IF(COUNT(C6:F6)=0,"",AVERAGE(C6:F6))</f>
        <v/>
      </c>
    </row>
    <row r="7">
      <c r="A7" s="232" t="inlineStr">
        <is>
          <t>Привычка 3</t>
        </is>
      </c>
      <c r="B7" s="232" t="inlineStr"/>
      <c r="C7" s="232" t="inlineStr"/>
      <c r="D7" s="232" t="inlineStr"/>
      <c r="E7" s="232" t="inlineStr"/>
      <c r="F7" s="232" t="inlineStr"/>
      <c r="G7" s="232">
        <f>IF(COUNT(C7:F7)=0,"",AVERAGE(C7:F7))</f>
        <v/>
      </c>
    </row>
    <row r="8">
      <c r="A8" s="232" t="inlineStr">
        <is>
          <t>Привычка 4</t>
        </is>
      </c>
      <c r="B8" s="232" t="inlineStr"/>
      <c r="C8" s="232" t="inlineStr"/>
      <c r="D8" s="232" t="inlineStr"/>
      <c r="E8" s="232" t="inlineStr"/>
      <c r="F8" s="232" t="inlineStr"/>
      <c r="G8" s="232">
        <f>IF(COUNT(C8:F8)=0,"",AVERAGE(C8:F8))</f>
        <v/>
      </c>
    </row>
    <row r="9">
      <c r="A9" s="232" t="inlineStr">
        <is>
          <t>Привычка 5</t>
        </is>
      </c>
      <c r="B9" s="232" t="inlineStr"/>
      <c r="C9" s="232" t="inlineStr"/>
      <c r="D9" s="232" t="inlineStr"/>
      <c r="E9" s="232" t="inlineStr"/>
      <c r="F9" s="232" t="inlineStr"/>
      <c r="G9" s="232">
        <f>IF(COUNT(C9:F9)=0,"",AVERAGE(C9:F9))</f>
        <v/>
      </c>
    </row>
    <row r="10">
      <c r="A10" s="232" t="inlineStr">
        <is>
          <t>Привычка 6</t>
        </is>
      </c>
      <c r="B10" s="232" t="inlineStr"/>
      <c r="C10" s="232" t="inlineStr"/>
      <c r="D10" s="232" t="inlineStr"/>
      <c r="E10" s="232" t="inlineStr"/>
      <c r="F10" s="232" t="inlineStr"/>
      <c r="G10" s="232">
        <f>IF(COUNT(C10:F10)=0,"",AVERAGE(C10:F10))</f>
        <v/>
      </c>
    </row>
    <row r="11">
      <c r="A11" s="232" t="inlineStr">
        <is>
          <t>Привычка 7</t>
        </is>
      </c>
      <c r="B11" s="232" t="inlineStr"/>
      <c r="C11" s="232" t="inlineStr"/>
      <c r="D11" s="232" t="inlineStr"/>
      <c r="E11" s="232" t="inlineStr"/>
      <c r="F11" s="232" t="inlineStr"/>
      <c r="G11" s="232">
        <f>IF(COUNT(C11:F11)=0,"",AVERAGE(C11:F11))</f>
        <v/>
      </c>
    </row>
    <row r="12">
      <c r="A12" s="232" t="inlineStr">
        <is>
          <t>Привычка 8</t>
        </is>
      </c>
      <c r="B12" s="232" t="inlineStr"/>
      <c r="C12" s="232" t="inlineStr"/>
      <c r="D12" s="232" t="inlineStr"/>
      <c r="E12" s="232" t="inlineStr"/>
      <c r="F12" s="232" t="inlineStr"/>
      <c r="G12" s="232">
        <f>IF(COUNT(C12:F12)=0,"",AVERAGE(C12:F12))</f>
        <v/>
      </c>
    </row>
    <row r="13">
      <c r="A13" s="232" t="inlineStr">
        <is>
          <t>Привычка 9</t>
        </is>
      </c>
      <c r="B13" s="232" t="inlineStr"/>
      <c r="C13" s="232" t="inlineStr"/>
      <c r="D13" s="232" t="inlineStr"/>
      <c r="E13" s="232" t="inlineStr"/>
      <c r="F13" s="232" t="inlineStr"/>
      <c r="G13" s="232">
        <f>IF(COUNT(C13:F13)=0,"",AVERAGE(C13:F13))</f>
        <v/>
      </c>
    </row>
    <row r="14">
      <c r="A14" s="232" t="inlineStr">
        <is>
          <t>Привычка 10</t>
        </is>
      </c>
      <c r="B14" s="232" t="inlineStr"/>
      <c r="C14" s="232" t="inlineStr"/>
      <c r="D14" s="232" t="inlineStr"/>
      <c r="E14" s="232" t="inlineStr"/>
      <c r="F14" s="232" t="inlineStr"/>
      <c r="G14" s="232">
        <f>IF(COUNT(C14:F14)=0,"",AVERAGE(C14:F14))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2026-01-22T04:38:11Z</dcterms:created>
  <dcterms:modified xsi:type="dcterms:W3CDTF">2026-01-22T04:38:11Z</dcterms:modified>
</cp:coreProperties>
</file>