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up" sheetId="1" r:id="rId4"/>
    <sheet state="visible" name="Habits Tracker 2026" sheetId="2" r:id="rId5"/>
  </sheets>
  <definedNames/>
  <calcPr/>
</workbook>
</file>

<file path=xl/sharedStrings.xml><?xml version="1.0" encoding="utf-8"?>
<sst xmlns="http://schemas.openxmlformats.org/spreadsheetml/2006/main" count="187" uniqueCount="72">
  <si>
    <t>Write out your own habits here:</t>
  </si>
  <si>
    <t>Choose emojis</t>
  </si>
  <si>
    <t>⤵️⤵️⤵️</t>
  </si>
  <si>
    <t>Emoji keyboard shortcut:</t>
  </si>
  <si>
    <t>🧘🏻‍♀️Yoga</t>
  </si>
  <si>
    <t>0 habits done</t>
  </si>
  <si>
    <t xml:space="preserve">🪟: Press Windows + ; (semi-colon) or Windows + . (period) </t>
  </si>
  <si>
    <t>🌜Meditate</t>
  </si>
  <si>
    <t>1 habit done</t>
  </si>
  <si>
    <t>😶</t>
  </si>
  <si>
    <t>🍏: Control + Command + Spacebar</t>
  </si>
  <si>
    <t>🥝Eat Fruit</t>
  </si>
  <si>
    <t>2 habits done</t>
  </si>
  <si>
    <t>🙂</t>
  </si>
  <si>
    <t>🚶🏽‍♀️10k Steps</t>
  </si>
  <si>
    <t>3 habits done</t>
  </si>
  <si>
    <t>😊</t>
  </si>
  <si>
    <t>💦2 L water</t>
  </si>
  <si>
    <t>4 habits done</t>
  </si>
  <si>
    <t>😍</t>
  </si>
  <si>
    <t>🏋🏾‍♂️Gym</t>
  </si>
  <si>
    <t>5 habits done</t>
  </si>
  <si>
    <t>🚀</t>
  </si>
  <si>
    <t>6 habits or more</t>
  </si>
  <si>
    <t>🔥</t>
  </si>
  <si>
    <t xml:space="preserve"> </t>
  </si>
  <si>
    <t xml:space="preserve">Year: </t>
  </si>
  <si>
    <t>January</t>
  </si>
  <si>
    <t>TOTAL</t>
  </si>
  <si>
    <t>current streak 🔥</t>
  </si>
  <si>
    <t>longest streak😼</t>
  </si>
  <si>
    <t>Goal🔢</t>
  </si>
  <si>
    <t>Progress
📈</t>
  </si>
  <si>
    <t>Week start:</t>
  </si>
  <si>
    <t>Monday</t>
  </si>
  <si>
    <t>🌬️</t>
  </si>
  <si>
    <t>FEBRUARY</t>
  </si>
  <si>
    <t>February</t>
  </si>
  <si>
    <t>🦆</t>
  </si>
  <si>
    <t>MARCH</t>
  </si>
  <si>
    <t>March</t>
  </si>
  <si>
    <t>🐇</t>
  </si>
  <si>
    <t>APRIL</t>
  </si>
  <si>
    <t>April</t>
  </si>
  <si>
    <t>🥾</t>
  </si>
  <si>
    <t>MAY</t>
  </si>
  <si>
    <t>May</t>
  </si>
  <si>
    <t>👗</t>
  </si>
  <si>
    <t>JUNE</t>
  </si>
  <si>
    <t>June</t>
  </si>
  <si>
    <t>👙</t>
  </si>
  <si>
    <t>JULY</t>
  </si>
  <si>
    <t>July</t>
  </si>
  <si>
    <t>☀️</t>
  </si>
  <si>
    <t>AUGUST</t>
  </si>
  <si>
    <t>August</t>
  </si>
  <si>
    <t>🍃</t>
  </si>
  <si>
    <t>SEPTEMBER</t>
  </si>
  <si>
    <t>September</t>
  </si>
  <si>
    <t>🍂</t>
  </si>
  <si>
    <t>OCTOBER</t>
  </si>
  <si>
    <t>October</t>
  </si>
  <si>
    <t>🧥</t>
  </si>
  <si>
    <t>NOVEMBER</t>
  </si>
  <si>
    <t>November</t>
  </si>
  <si>
    <t>🎇</t>
  </si>
  <si>
    <t>DECEMBER</t>
  </si>
  <si>
    <t>December</t>
  </si>
  <si>
    <t>🥸</t>
  </si>
  <si>
    <t>Notes:</t>
  </si>
  <si>
    <t>Google Sheets Geeks</t>
  </si>
  <si>
    <t>HAPPY HABIT TRACKING AND A HAPPY NEW YEAR, REMEMBER YOU ARE AWESOME, CAPABLE, INTELLIGENT, WORTHY, AND SEXY ❤️ x gracia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</si>
</sst>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"/>
    <numFmt numFmtId="165" formatCode="ddd"/>
  </numFmts>
  <fonts count="23">
    <font>
      <sz val="10.0"/>
      <color rgb="FF000000"/>
      <name val="Verdana"/>
      <scheme val="minor"/>
    </font>
    <font>
      <b/>
      <color theme="1"/>
      <name val="Verdana"/>
      <scheme val="minor"/>
    </font>
    <font>
      <b/>
      <sz val="9.0"/>
      <color theme="1"/>
      <name val="Century Gothic"/>
    </font>
    <font>
      <sz val="9.0"/>
      <color theme="1"/>
      <name val="Century Gothic"/>
    </font>
    <font>
      <color theme="1"/>
      <name val="Verdana"/>
      <scheme val="minor"/>
    </font>
    <font>
      <color theme="1"/>
      <name val="Century Gothic"/>
    </font>
    <font>
      <b/>
      <sz val="8.0"/>
      <color theme="1"/>
      <name val="Century Gothic"/>
    </font>
    <font>
      <sz val="8.0"/>
      <color theme="1"/>
      <name val="Century Gothic"/>
    </font>
    <font>
      <b/>
      <sz val="9.0"/>
      <color rgb="FF222A35"/>
      <name val="Century Gothic"/>
    </font>
    <font>
      <b/>
      <sz val="8.0"/>
      <color rgb="FF222A35"/>
      <name val="Century Gothic"/>
    </font>
    <font>
      <sz val="9.0"/>
      <color rgb="FF454545"/>
      <name val="Century Gothic"/>
    </font>
    <font>
      <sz val="9.0"/>
      <color rgb="FF666666"/>
      <name val="&quot;Google Sans Mono&quot;"/>
    </font>
    <font>
      <sz val="9.0"/>
      <color rgb="FF666666"/>
      <name val="Century Gothic"/>
    </font>
    <font>
      <sz val="9.0"/>
      <color rgb="FF202124"/>
      <name val="Century Gothic"/>
    </font>
    <font>
      <sz val="9.0"/>
      <color rgb="FF000000"/>
      <name val="Century Gothic"/>
    </font>
    <font>
      <sz val="9.0"/>
      <color rgb="FF999999"/>
      <name val="Century Gothic"/>
    </font>
    <font>
      <color theme="1"/>
      <name val="Verdana"/>
    </font>
    <font>
      <sz val="24.0"/>
      <color theme="1"/>
      <name val="&quot;Century Gothic&quot;"/>
    </font>
    <font>
      <sz val="9.0"/>
      <color theme="1"/>
      <name val="&quot;Century Gothic&quot;"/>
    </font>
    <font>
      <u/>
      <sz val="9.0"/>
      <color rgb="FF0000FF"/>
      <name val="&quot;Century Gothic&quot;"/>
    </font>
    <font/>
    <font>
      <sz val="24.0"/>
      <color theme="1"/>
      <name val="Century Gothic"/>
    </font>
    <font>
      <u/>
      <sz val="9.0"/>
      <color rgb="FF1155CC"/>
      <name val="Century Gothic"/>
    </font>
  </fonts>
  <fills count="11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76A5AF"/>
        <bgColor rgb="FF76A5AF"/>
      </patternFill>
    </fill>
    <fill>
      <patternFill patternType="solid">
        <fgColor rgb="FFEFEFEF"/>
        <bgColor rgb="FFEFEFEF"/>
      </patternFill>
    </fill>
    <fill>
      <patternFill patternType="solid">
        <fgColor rgb="FFF5F5F5"/>
        <bgColor rgb="FFF5F5F5"/>
      </patternFill>
    </fill>
    <fill>
      <patternFill patternType="solid">
        <fgColor rgb="FFBCE0CF"/>
        <bgColor rgb="FFBCE0CF"/>
      </patternFill>
    </fill>
    <fill>
      <patternFill patternType="solid">
        <fgColor rgb="FFF3F3F3"/>
        <bgColor rgb="FFF3F3F3"/>
      </patternFill>
    </fill>
    <fill>
      <patternFill patternType="solid">
        <fgColor rgb="FF1A9988"/>
        <bgColor rgb="FF1A9988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horizontal="left" readingOrder="0"/>
    </xf>
    <xf borderId="1" fillId="0" fontId="3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center" readingOrder="0"/>
    </xf>
    <xf borderId="0" fillId="0" fontId="3" numFmtId="0" xfId="0" applyAlignment="1" applyFont="1">
      <alignment horizontal="left" readingOrder="0"/>
    </xf>
    <xf borderId="4" fillId="0" fontId="3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 readingOrder="0"/>
    </xf>
    <xf borderId="6" fillId="0" fontId="4" numFmtId="0" xfId="0" applyAlignment="1" applyBorder="1" applyFont="1">
      <alignment horizontal="center" readingOrder="0"/>
    </xf>
    <xf borderId="7" fillId="0" fontId="4" numFmtId="0" xfId="0" applyAlignment="1" applyBorder="1" applyFont="1">
      <alignment horizontal="center" readingOrder="0"/>
    </xf>
    <xf borderId="8" fillId="0" fontId="4" numFmtId="0" xfId="0" applyAlignment="1" applyBorder="1" applyFont="1">
      <alignment horizontal="center" readingOrder="0"/>
    </xf>
    <xf borderId="9" fillId="0" fontId="5" numFmtId="0" xfId="0" applyAlignment="1" applyBorder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2" fontId="3" numFmtId="0" xfId="0" applyAlignment="1" applyFont="1">
      <alignment horizontal="right" readingOrder="0"/>
    </xf>
    <xf borderId="0" fillId="2" fontId="3" numFmtId="164" xfId="0" applyAlignment="1" applyFont="1" applyNumberFormat="1">
      <alignment horizontal="center" readingOrder="0"/>
    </xf>
    <xf borderId="0" fillId="2" fontId="6" numFmtId="0" xfId="0" applyAlignment="1" applyFont="1">
      <alignment horizontal="center" readingOrder="0" shrinkToFit="0" vertical="center" wrapText="1"/>
    </xf>
    <xf borderId="0" fillId="2" fontId="7" numFmtId="0" xfId="0" applyAlignment="1" applyFont="1">
      <alignment horizontal="center" readingOrder="0" shrinkToFit="0" vertical="center" wrapText="1"/>
    </xf>
    <xf borderId="0" fillId="4" fontId="6" numFmtId="0" xfId="0" applyAlignment="1" applyFill="1" applyFont="1">
      <alignment horizontal="center" readingOrder="0"/>
    </xf>
    <xf borderId="0" fillId="4" fontId="6" numFmtId="0" xfId="0" applyAlignment="1" applyFont="1">
      <alignment horizontal="right" readingOrder="0"/>
    </xf>
    <xf borderId="0" fillId="5" fontId="7" numFmtId="165" xfId="0" applyAlignment="1" applyFill="1" applyFont="1" applyNumberFormat="1">
      <alignment horizontal="center" readingOrder="0"/>
    </xf>
    <xf borderId="0" fillId="0" fontId="8" numFmtId="0" xfId="0" applyAlignment="1" applyFont="1">
      <alignment horizontal="center"/>
    </xf>
    <xf borderId="10" fillId="6" fontId="9" numFmtId="0" xfId="0" applyAlignment="1" applyBorder="1" applyFill="1" applyFont="1">
      <alignment horizontal="center"/>
    </xf>
    <xf borderId="0" fillId="0" fontId="3" numFmtId="0" xfId="0" applyAlignment="1" applyFont="1">
      <alignment horizontal="center" readingOrder="0"/>
    </xf>
    <xf borderId="0" fillId="7" fontId="10" numFmtId="0" xfId="0" applyAlignment="1" applyFill="1" applyFont="1">
      <alignment horizontal="center" readingOrder="0"/>
    </xf>
    <xf borderId="0" fillId="8" fontId="10" numFmtId="0" xfId="0" applyAlignment="1" applyFill="1" applyFont="1">
      <alignment horizontal="center" readingOrder="0"/>
    </xf>
    <xf borderId="0" fillId="7" fontId="10" numFmtId="9" xfId="0" applyAlignment="1" applyFont="1" applyNumberFormat="1">
      <alignment horizontal="center" readingOrder="0"/>
    </xf>
    <xf borderId="6" fillId="9" fontId="3" numFmtId="0" xfId="0" applyAlignment="1" applyBorder="1" applyFill="1" applyFont="1">
      <alignment horizontal="center" readingOrder="0" vertical="bottom"/>
    </xf>
    <xf borderId="0" fillId="0" fontId="11" numFmtId="164" xfId="0" applyAlignment="1" applyFont="1" applyNumberFormat="1">
      <alignment horizontal="right"/>
    </xf>
    <xf borderId="0" fillId="4" fontId="12" numFmtId="164" xfId="0" applyAlignment="1" applyFont="1" applyNumberFormat="1">
      <alignment horizontal="right" readingOrder="0" vertical="bottom"/>
    </xf>
    <xf borderId="6" fillId="9" fontId="13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right" readingOrder="0"/>
    </xf>
    <xf borderId="0" fillId="2" fontId="3" numFmtId="0" xfId="0" applyAlignment="1" applyFont="1">
      <alignment horizontal="center"/>
    </xf>
    <xf borderId="0" fillId="4" fontId="2" numFmtId="0" xfId="0" applyAlignment="1" applyFont="1">
      <alignment horizontal="center" readingOrder="0"/>
    </xf>
    <xf borderId="0" fillId="4" fontId="3" numFmtId="0" xfId="0" applyAlignment="1" applyFont="1">
      <alignment horizontal="right" readingOrder="0"/>
    </xf>
    <xf borderId="0" fillId="5" fontId="7" numFmtId="165" xfId="0" applyAlignment="1" applyFont="1" applyNumberFormat="1">
      <alignment horizontal="center" readingOrder="0"/>
    </xf>
    <xf borderId="0" fillId="5" fontId="7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9" fontId="13" numFmtId="0" xfId="0" applyAlignment="1" applyFont="1">
      <alignment horizontal="center" readingOrder="0" vertical="bottom"/>
    </xf>
    <xf borderId="0" fillId="4" fontId="14" numFmtId="164" xfId="0" applyAlignment="1" applyFont="1" applyNumberFormat="1">
      <alignment horizontal="center" readingOrder="0" vertical="bottom"/>
    </xf>
    <xf borderId="0" fillId="4" fontId="15" numFmtId="164" xfId="0" applyAlignment="1" applyFont="1" applyNumberFormat="1">
      <alignment horizontal="center" readingOrder="0" vertical="bottom"/>
    </xf>
    <xf borderId="0" fillId="4" fontId="3" numFmtId="0" xfId="0" applyAlignment="1" applyFont="1">
      <alignment horizontal="right" readingOrder="0" vertical="bottom"/>
    </xf>
    <xf borderId="0" fillId="4" fontId="3" numFmtId="0" xfId="0" applyAlignment="1" applyFont="1">
      <alignment readingOrder="0" vertical="bottom"/>
    </xf>
    <xf borderId="0" fillId="4" fontId="3" numFmtId="164" xfId="0" applyAlignment="1" applyFont="1" applyNumberFormat="1">
      <alignment vertical="bottom"/>
    </xf>
    <xf borderId="0" fillId="0" fontId="3" numFmtId="0" xfId="0" applyAlignment="1" applyFont="1">
      <alignment horizontal="right"/>
    </xf>
    <xf borderId="10" fillId="6" fontId="9" numFmtId="0" xfId="0" applyAlignment="1" applyBorder="1" applyFont="1">
      <alignment horizontal="center" vertical="bottom"/>
    </xf>
    <xf borderId="0" fillId="4" fontId="3" numFmtId="164" xfId="0" applyAlignment="1" applyFont="1" applyNumberFormat="1">
      <alignment horizontal="center" readingOrder="0" vertical="bottom"/>
    </xf>
    <xf borderId="0" fillId="2" fontId="3" numFmtId="0" xfId="0" applyAlignment="1" applyFont="1">
      <alignment horizontal="center" readingOrder="0"/>
    </xf>
    <xf borderId="0" fillId="10" fontId="2" numFmtId="0" xfId="0" applyAlignment="1" applyFill="1" applyFont="1">
      <alignment horizontal="center" readingOrder="0" vertical="bottom"/>
    </xf>
    <xf borderId="0" fillId="10" fontId="3" numFmtId="0" xfId="0" applyAlignment="1" applyFont="1">
      <alignment horizontal="right" readingOrder="0" vertical="bottom"/>
    </xf>
    <xf borderId="0" fillId="0" fontId="16" numFmtId="0" xfId="0" applyAlignment="1" applyFont="1">
      <alignment vertical="bottom"/>
    </xf>
    <xf borderId="10" fillId="6" fontId="9" numFmtId="0" xfId="0" applyAlignment="1" applyBorder="1" applyFont="1">
      <alignment horizontal="center" vertical="bottom"/>
    </xf>
    <xf borderId="0" fillId="10" fontId="3" numFmtId="0" xfId="0" applyAlignment="1" applyFont="1">
      <alignment horizontal="right" vertical="bottom"/>
    </xf>
    <xf borderId="0" fillId="10" fontId="3" numFmtId="0" xfId="0" applyAlignment="1" applyFont="1">
      <alignment horizontal="center" vertical="bottom"/>
    </xf>
    <xf borderId="0" fillId="10" fontId="2" numFmtId="0" xfId="0" applyAlignment="1" applyFont="1">
      <alignment horizontal="center" vertical="bottom"/>
    </xf>
    <xf borderId="0" fillId="0" fontId="17" numFmtId="0" xfId="0" applyAlignment="1" applyFont="1">
      <alignment horizontal="center" vertical="bottom"/>
    </xf>
    <xf borderId="0" fillId="0" fontId="16" numFmtId="0" xfId="0" applyAlignment="1" applyFont="1">
      <alignment vertical="bottom"/>
    </xf>
    <xf borderId="0" fillId="0" fontId="18" numFmtId="0" xfId="0" applyAlignment="1" applyFont="1">
      <alignment shrinkToFit="0" vertical="bottom" wrapText="0"/>
    </xf>
    <xf borderId="0" fillId="0" fontId="16" numFmtId="0" xfId="0" applyFont="1"/>
    <xf borderId="0" fillId="0" fontId="19" numFmtId="0" xfId="0" applyAlignment="1" applyFont="1">
      <alignment readingOrder="0" shrinkToFit="0" vertical="bottom" wrapText="0"/>
    </xf>
    <xf borderId="2" fillId="0" fontId="3" numFmtId="0" xfId="0" applyAlignment="1" applyBorder="1" applyFont="1">
      <alignment horizontal="left" readingOrder="0"/>
    </xf>
    <xf borderId="11" fillId="0" fontId="20" numFmtId="0" xfId="0" applyBorder="1" applyFont="1"/>
    <xf borderId="3" fillId="0" fontId="20" numFmtId="0" xfId="0" applyBorder="1" applyFont="1"/>
    <xf borderId="0" fillId="0" fontId="21" numFmtId="0" xfId="0" applyAlignment="1" applyFont="1">
      <alignment horizontal="center" readingOrder="0"/>
    </xf>
    <xf borderId="0" fillId="0" fontId="22" numFmtId="0" xfId="0" applyAlignment="1" applyFont="1">
      <alignment horizontal="left" readingOrder="0"/>
    </xf>
    <xf borderId="7" fillId="0" fontId="20" numFmtId="0" xfId="0" applyBorder="1" applyFont="1"/>
    <xf borderId="10" fillId="0" fontId="20" numFmtId="0" xfId="0" applyBorder="1" applyFont="1"/>
    <xf borderId="8" fillId="0" fontId="20" numFmtId="0" xfId="0" applyBorder="1" applyFont="1"/>
  </cellXfs>
  <cellStyles count="1">
    <cellStyle xfId="0" name="Normal" builtinId="0"/>
  </cellStyles>
  <dxfs count="7">
    <dxf>
      <font>
        <color rgb="FF57BB8A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51C08A"/>
          <bgColor rgb="FF51C08A"/>
        </patternFill>
      </fill>
      <border/>
    </dxf>
    <dxf>
      <font/>
      <fill>
        <patternFill patternType="solid">
          <fgColor rgb="FF51C08A"/>
          <bgColor rgb="FF51C08A"/>
        </patternFill>
      </fill>
      <border/>
    </dxf>
    <dxf>
      <font>
        <color rgb="FFFFFFFF"/>
      </font>
      <fill>
        <patternFill patternType="solid">
          <fgColor rgb="FFEB5600"/>
          <bgColor rgb="FFEB5600"/>
        </patternFill>
      </fill>
      <border/>
    </dxf>
    <dxf>
      <font>
        <color rgb="FF000000"/>
      </font>
      <fill>
        <patternFill patternType="solid">
          <fgColor theme="7"/>
          <bgColor theme="7"/>
        </patternFill>
      </fill>
      <border/>
    </dxf>
    <dxf>
      <font>
        <color rgb="FF1A1A1A"/>
      </font>
      <fill>
        <patternFill patternType="solid">
          <fgColor rgb="FFEB5600"/>
          <bgColor rgb="FFEB56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edium.com/google-sheets-geeks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.67"/>
    <col customWidth="1" min="2" max="2" width="27.33"/>
    <col customWidth="1" min="3" max="3" width="5.44"/>
    <col customWidth="1" min="4" max="4" width="16.33"/>
    <col customWidth="1" min="6" max="6" width="6.56"/>
    <col customWidth="1" min="7" max="7" width="46.67"/>
  </cols>
  <sheetData>
    <row r="2">
      <c r="B2" s="1" t="s">
        <v>0</v>
      </c>
      <c r="D2" s="1" t="s">
        <v>1</v>
      </c>
      <c r="E2" s="1" t="s">
        <v>2</v>
      </c>
      <c r="G2" s="2" t="s">
        <v>3</v>
      </c>
    </row>
    <row r="3">
      <c r="B3" s="3" t="s">
        <v>4</v>
      </c>
      <c r="D3" s="4" t="s">
        <v>5</v>
      </c>
      <c r="E3" s="5"/>
      <c r="G3" s="6" t="s">
        <v>6</v>
      </c>
    </row>
    <row r="4">
      <c r="B4" s="7" t="s">
        <v>7</v>
      </c>
      <c r="D4" s="8" t="s">
        <v>8</v>
      </c>
      <c r="E4" s="9" t="s">
        <v>9</v>
      </c>
      <c r="G4" s="6" t="s">
        <v>10</v>
      </c>
    </row>
    <row r="5">
      <c r="B5" s="7" t="s">
        <v>11</v>
      </c>
      <c r="D5" s="8" t="s">
        <v>12</v>
      </c>
      <c r="E5" s="9" t="s">
        <v>13</v>
      </c>
    </row>
    <row r="6">
      <c r="B6" s="7" t="s">
        <v>14</v>
      </c>
      <c r="D6" s="8" t="s">
        <v>15</v>
      </c>
      <c r="E6" s="9" t="s">
        <v>16</v>
      </c>
    </row>
    <row r="7">
      <c r="B7" s="7" t="s">
        <v>17</v>
      </c>
      <c r="D7" s="8" t="s">
        <v>18</v>
      </c>
      <c r="E7" s="9" t="s">
        <v>19</v>
      </c>
    </row>
    <row r="8">
      <c r="B8" s="7" t="s">
        <v>20</v>
      </c>
      <c r="D8" s="8" t="s">
        <v>21</v>
      </c>
      <c r="E8" s="9" t="s">
        <v>22</v>
      </c>
    </row>
    <row r="9">
      <c r="B9" s="7"/>
      <c r="D9" s="10" t="s">
        <v>23</v>
      </c>
      <c r="E9" s="11" t="s">
        <v>24</v>
      </c>
    </row>
    <row r="10">
      <c r="B10" s="7"/>
    </row>
    <row r="11">
      <c r="B11" s="7"/>
    </row>
    <row r="12">
      <c r="B12" s="7"/>
    </row>
    <row r="13">
      <c r="B13" s="7"/>
    </row>
    <row r="14">
      <c r="B14" s="7"/>
    </row>
    <row r="15">
      <c r="B15" s="7"/>
    </row>
    <row r="16">
      <c r="B16" s="7"/>
    </row>
    <row r="17">
      <c r="B17" s="7"/>
    </row>
    <row r="18">
      <c r="B18" s="7"/>
    </row>
    <row r="19">
      <c r="B19" s="7"/>
    </row>
    <row r="20">
      <c r="B20" s="7"/>
    </row>
    <row r="21">
      <c r="B21" s="7"/>
    </row>
    <row r="22">
      <c r="B22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75"/>
  <cols>
    <col customWidth="1" min="1" max="1" width="3.89"/>
    <col customWidth="1" min="2" max="2" width="2.89"/>
    <col customWidth="1" min="3" max="3" width="2.67"/>
    <col customWidth="1" min="4" max="4" width="2.78"/>
    <col customWidth="1" min="5" max="5" width="2.67"/>
    <col customWidth="1" min="6" max="6" width="2.89"/>
    <col customWidth="1" min="7" max="7" width="2.67"/>
    <col customWidth="1" min="8" max="8" width="2.89"/>
    <col customWidth="1" min="9" max="9" width="8.22"/>
    <col customWidth="1" min="10" max="40" width="2.67"/>
    <col customWidth="1" min="41" max="41" width="2.89"/>
    <col customWidth="1" min="42" max="42" width="2.33"/>
    <col customWidth="1" min="43" max="44" width="5.44"/>
    <col customWidth="1" min="45" max="45" width="4.33"/>
    <col customWidth="1" min="46" max="46" width="5.67"/>
  </cols>
  <sheetData>
    <row r="1">
      <c r="A1" s="13" t="s">
        <v>25</v>
      </c>
      <c r="B1" s="13" t="s">
        <v>26</v>
      </c>
      <c r="D1" s="14">
        <v>2026.0</v>
      </c>
      <c r="F1" s="13"/>
      <c r="G1" s="13"/>
      <c r="H1" s="13"/>
      <c r="I1" s="15" t="s">
        <v>27</v>
      </c>
      <c r="J1" s="16">
        <f t="array" ref="J1">DATE(D1, MATCH(I1, {"January","February","March","April","May","June","July","August","September","October","November","December"}, 0), 1)</f>
        <v>46023</v>
      </c>
      <c r="K1" s="16">
        <f t="shared" ref="K1:AN1" si="1">J1+1</f>
        <v>46024</v>
      </c>
      <c r="L1" s="16">
        <f t="shared" si="1"/>
        <v>46025</v>
      </c>
      <c r="M1" s="16">
        <f t="shared" si="1"/>
        <v>46026</v>
      </c>
      <c r="N1" s="16">
        <f t="shared" si="1"/>
        <v>46027</v>
      </c>
      <c r="O1" s="16">
        <f t="shared" si="1"/>
        <v>46028</v>
      </c>
      <c r="P1" s="16">
        <f t="shared" si="1"/>
        <v>46029</v>
      </c>
      <c r="Q1" s="16">
        <f t="shared" si="1"/>
        <v>46030</v>
      </c>
      <c r="R1" s="16">
        <f t="shared" si="1"/>
        <v>46031</v>
      </c>
      <c r="S1" s="16">
        <f t="shared" si="1"/>
        <v>46032</v>
      </c>
      <c r="T1" s="16">
        <f t="shared" si="1"/>
        <v>46033</v>
      </c>
      <c r="U1" s="16">
        <f t="shared" si="1"/>
        <v>46034</v>
      </c>
      <c r="V1" s="16">
        <f t="shared" si="1"/>
        <v>46035</v>
      </c>
      <c r="W1" s="16">
        <f t="shared" si="1"/>
        <v>46036</v>
      </c>
      <c r="X1" s="16">
        <f t="shared" si="1"/>
        <v>46037</v>
      </c>
      <c r="Y1" s="16">
        <f t="shared" si="1"/>
        <v>46038</v>
      </c>
      <c r="Z1" s="16">
        <f t="shared" si="1"/>
        <v>46039</v>
      </c>
      <c r="AA1" s="16">
        <f t="shared" si="1"/>
        <v>46040</v>
      </c>
      <c r="AB1" s="16">
        <f t="shared" si="1"/>
        <v>46041</v>
      </c>
      <c r="AC1" s="16">
        <f t="shared" si="1"/>
        <v>46042</v>
      </c>
      <c r="AD1" s="16">
        <f t="shared" si="1"/>
        <v>46043</v>
      </c>
      <c r="AE1" s="16">
        <f t="shared" si="1"/>
        <v>46044</v>
      </c>
      <c r="AF1" s="16">
        <f t="shared" si="1"/>
        <v>46045</v>
      </c>
      <c r="AG1" s="16">
        <f t="shared" si="1"/>
        <v>46046</v>
      </c>
      <c r="AH1" s="16">
        <f t="shared" si="1"/>
        <v>46047</v>
      </c>
      <c r="AI1" s="16">
        <f t="shared" si="1"/>
        <v>46048</v>
      </c>
      <c r="AJ1" s="16">
        <f t="shared" si="1"/>
        <v>46049</v>
      </c>
      <c r="AK1" s="16">
        <f t="shared" si="1"/>
        <v>46050</v>
      </c>
      <c r="AL1" s="16">
        <f t="shared" si="1"/>
        <v>46051</v>
      </c>
      <c r="AM1" s="16">
        <f t="shared" si="1"/>
        <v>46052</v>
      </c>
      <c r="AN1" s="16">
        <f t="shared" si="1"/>
        <v>46053</v>
      </c>
      <c r="AO1" s="17" t="s">
        <v>28</v>
      </c>
      <c r="AQ1" s="18" t="s">
        <v>29</v>
      </c>
      <c r="AR1" s="18" t="s">
        <v>30</v>
      </c>
      <c r="AS1" s="18" t="s">
        <v>31</v>
      </c>
      <c r="AT1" s="18" t="s">
        <v>32</v>
      </c>
    </row>
    <row r="2" ht="14.25" customHeight="1">
      <c r="A2" s="19"/>
      <c r="B2" s="19" t="s">
        <v>33</v>
      </c>
      <c r="E2" s="19" t="s">
        <v>34</v>
      </c>
      <c r="I2" s="20">
        <f>D1</f>
        <v>2026</v>
      </c>
      <c r="J2" s="21">
        <f t="shared" ref="J2:AN2" si="2">J1</f>
        <v>46023</v>
      </c>
      <c r="K2" s="21">
        <f t="shared" si="2"/>
        <v>46024</v>
      </c>
      <c r="L2" s="21">
        <f t="shared" si="2"/>
        <v>46025</v>
      </c>
      <c r="M2" s="21">
        <f t="shared" si="2"/>
        <v>46026</v>
      </c>
      <c r="N2" s="21">
        <f t="shared" si="2"/>
        <v>46027</v>
      </c>
      <c r="O2" s="21">
        <f t="shared" si="2"/>
        <v>46028</v>
      </c>
      <c r="P2" s="21">
        <f t="shared" si="2"/>
        <v>46029</v>
      </c>
      <c r="Q2" s="21">
        <f t="shared" si="2"/>
        <v>46030</v>
      </c>
      <c r="R2" s="21">
        <f t="shared" si="2"/>
        <v>46031</v>
      </c>
      <c r="S2" s="21">
        <f t="shared" si="2"/>
        <v>46032</v>
      </c>
      <c r="T2" s="21">
        <f t="shared" si="2"/>
        <v>46033</v>
      </c>
      <c r="U2" s="21">
        <f t="shared" si="2"/>
        <v>46034</v>
      </c>
      <c r="V2" s="21">
        <f t="shared" si="2"/>
        <v>46035</v>
      </c>
      <c r="W2" s="21">
        <f t="shared" si="2"/>
        <v>46036</v>
      </c>
      <c r="X2" s="21">
        <f t="shared" si="2"/>
        <v>46037</v>
      </c>
      <c r="Y2" s="21">
        <f t="shared" si="2"/>
        <v>46038</v>
      </c>
      <c r="Z2" s="21">
        <f t="shared" si="2"/>
        <v>46039</v>
      </c>
      <c r="AA2" s="21">
        <f t="shared" si="2"/>
        <v>46040</v>
      </c>
      <c r="AB2" s="21">
        <f t="shared" si="2"/>
        <v>46041</v>
      </c>
      <c r="AC2" s="21">
        <f t="shared" si="2"/>
        <v>46042</v>
      </c>
      <c r="AD2" s="21">
        <f t="shared" si="2"/>
        <v>46043</v>
      </c>
      <c r="AE2" s="21">
        <f t="shared" si="2"/>
        <v>46044</v>
      </c>
      <c r="AF2" s="21">
        <f t="shared" si="2"/>
        <v>46045</v>
      </c>
      <c r="AG2" s="21">
        <f t="shared" si="2"/>
        <v>46046</v>
      </c>
      <c r="AH2" s="21">
        <f t="shared" si="2"/>
        <v>46047</v>
      </c>
      <c r="AI2" s="21">
        <f t="shared" si="2"/>
        <v>46048</v>
      </c>
      <c r="AJ2" s="21">
        <f t="shared" si="2"/>
        <v>46049</v>
      </c>
      <c r="AK2" s="21">
        <f t="shared" si="2"/>
        <v>46050</v>
      </c>
      <c r="AL2" s="21">
        <f t="shared" si="2"/>
        <v>46051</v>
      </c>
      <c r="AM2" s="21">
        <f t="shared" si="2"/>
        <v>46052</v>
      </c>
      <c r="AN2" s="21">
        <f t="shared" si="2"/>
        <v>46053</v>
      </c>
    </row>
    <row r="3">
      <c r="A3" s="22"/>
      <c r="B3" s="23" t="str">
        <f t="shared" ref="B3:H3" si="3">IF($E$2="Monday", TEXT(TODAY()-WEEKDAY(TODAY(),2)+COLUMN(B3)-1,"ddd"), TEXT(TODAY()-WEEKDAY(TODAY(),1)+IF(COLUMN(B3)&gt;1,COLUMN(B3)-1,7),"ddd"))
</f>
        <v>Mon</v>
      </c>
      <c r="C3" s="23" t="str">
        <f t="shared" si="3"/>
        <v>Tue</v>
      </c>
      <c r="D3" s="23" t="str">
        <f t="shared" si="3"/>
        <v>Wed</v>
      </c>
      <c r="E3" s="23" t="str">
        <f t="shared" si="3"/>
        <v>Thu</v>
      </c>
      <c r="F3" s="23" t="str">
        <f t="shared" si="3"/>
        <v>Fri</v>
      </c>
      <c r="G3" s="23" t="str">
        <f t="shared" si="3"/>
        <v>Sat</v>
      </c>
      <c r="H3" s="23" t="str">
        <f t="shared" si="3"/>
        <v>Sun</v>
      </c>
      <c r="I3" s="6" t="str">
        <f t="array" ref="I3:I22">Setup!$B$3:$B$22</f>
        <v>🧘🏻‍♀️Yoga</v>
      </c>
      <c r="J3" s="24" t="b">
        <v>0</v>
      </c>
      <c r="K3" s="24" t="b">
        <v>0</v>
      </c>
      <c r="L3" s="24" t="b">
        <v>0</v>
      </c>
      <c r="M3" s="24" t="b">
        <v>0</v>
      </c>
      <c r="N3" s="24" t="b">
        <v>0</v>
      </c>
      <c r="O3" s="24" t="b">
        <v>0</v>
      </c>
      <c r="P3" s="24" t="b">
        <v>0</v>
      </c>
      <c r="Q3" s="24" t="b">
        <v>0</v>
      </c>
      <c r="R3" s="24" t="b">
        <v>0</v>
      </c>
      <c r="S3" s="24" t="b">
        <v>0</v>
      </c>
      <c r="T3" s="24" t="b">
        <v>0</v>
      </c>
      <c r="U3" s="24" t="b">
        <v>0</v>
      </c>
      <c r="V3" s="24" t="b">
        <v>0</v>
      </c>
      <c r="W3" s="24" t="b">
        <v>0</v>
      </c>
      <c r="X3" s="24" t="b">
        <v>0</v>
      </c>
      <c r="Y3" s="24" t="b">
        <v>0</v>
      </c>
      <c r="Z3" s="24" t="b">
        <v>0</v>
      </c>
      <c r="AA3" s="24" t="b">
        <v>0</v>
      </c>
      <c r="AB3" s="24" t="b">
        <v>0</v>
      </c>
      <c r="AC3" s="24" t="b">
        <v>0</v>
      </c>
      <c r="AD3" s="24" t="b">
        <v>0</v>
      </c>
      <c r="AE3" s="24" t="b">
        <v>0</v>
      </c>
      <c r="AF3" s="24" t="b">
        <v>0</v>
      </c>
      <c r="AG3" s="24" t="b">
        <v>0</v>
      </c>
      <c r="AH3" s="24" t="b">
        <v>0</v>
      </c>
      <c r="AI3" s="24" t="b">
        <v>0</v>
      </c>
      <c r="AJ3" s="24" t="b">
        <v>0</v>
      </c>
      <c r="AK3" s="24" t="b">
        <v>0</v>
      </c>
      <c r="AL3" s="24" t="b">
        <v>0</v>
      </c>
      <c r="AM3" s="24" t="b">
        <v>0</v>
      </c>
      <c r="AN3" s="24" t="b">
        <v>0</v>
      </c>
      <c r="AO3" s="25">
        <f t="shared" ref="AO3:AO22" si="5">COUNTIF(J3:AN3, "TRUE")</f>
        <v>0</v>
      </c>
      <c r="AQ3" s="25">
        <f>IFERROR(__xludf.DUMMYFUNCTION("if(iserror(match(true,J3:AN3,0)),0,len(index(split(substitute(substitute(join("","",J3:AN3)&amp;"","",""TRUE,"",""x""),""FALSE,"","",""),"",""),,counta(split(substitute(substitute(join("","",J3:AN3)&amp;"","",""TRUE,"",""x""),""FALSE,"","",""),"","")))))"),0.0)</f>
        <v>0</v>
      </c>
      <c r="AR3" s="25" t="str">
        <f>IFERROR(__xludf.DUMMYFUNCTION("arrayformula( if( sum(J3:AN3 + 0), max( len( split( concatenate( left(J3:AN3) ), ""F"" ) ) ), ""0"" ) )"),"0")</f>
        <v>0</v>
      </c>
      <c r="AS3" s="26">
        <v>8.0</v>
      </c>
      <c r="AT3" s="27">
        <f t="shared" ref="AT3:AT22" si="6">AO3/AS3</f>
        <v>0</v>
      </c>
    </row>
    <row r="4">
      <c r="A4" s="28">
        <f>WEEKNUM(DATE(D1, MONTH(I1 &amp; 1), 1), 2)
</f>
        <v>1</v>
      </c>
      <c r="B4" s="29">
        <f t="array" ref="B4">IFERROR(DATE($D$1, 1, (A4-1)*7 + 2 - WEEKDAY(DATE($D$1, 1, 1) - MATCH(B3, {"Mon","Tue","Wed","Thu","Fri","Sat","Sun"}, 0))), "")</f>
        <v>46020</v>
      </c>
      <c r="C4" s="30">
        <f t="shared" ref="C4:H4" si="4">B4+1</f>
        <v>46021</v>
      </c>
      <c r="D4" s="30">
        <f t="shared" si="4"/>
        <v>46022</v>
      </c>
      <c r="E4" s="30">
        <f t="shared" si="4"/>
        <v>46023</v>
      </c>
      <c r="F4" s="30">
        <f t="shared" si="4"/>
        <v>46024</v>
      </c>
      <c r="G4" s="30">
        <f t="shared" si="4"/>
        <v>46025</v>
      </c>
      <c r="H4" s="30">
        <f t="shared" si="4"/>
        <v>46026</v>
      </c>
      <c r="I4" s="6" t="s">
        <v>7</v>
      </c>
      <c r="J4" s="24" t="b">
        <v>0</v>
      </c>
      <c r="K4" s="24" t="b">
        <v>0</v>
      </c>
      <c r="L4" s="24" t="b">
        <v>0</v>
      </c>
      <c r="M4" s="24" t="b">
        <v>0</v>
      </c>
      <c r="N4" s="24" t="b">
        <v>0</v>
      </c>
      <c r="O4" s="24" t="b">
        <v>0</v>
      </c>
      <c r="P4" s="24" t="b">
        <v>0</v>
      </c>
      <c r="Q4" s="24" t="b">
        <v>0</v>
      </c>
      <c r="R4" s="24" t="b">
        <v>0</v>
      </c>
      <c r="S4" s="24" t="b">
        <v>0</v>
      </c>
      <c r="T4" s="24" t="b">
        <v>0</v>
      </c>
      <c r="U4" s="24" t="b">
        <v>0</v>
      </c>
      <c r="V4" s="24" t="b">
        <v>0</v>
      </c>
      <c r="W4" s="24" t="b">
        <v>0</v>
      </c>
      <c r="X4" s="24" t="b">
        <v>0</v>
      </c>
      <c r="Y4" s="24" t="b">
        <v>0</v>
      </c>
      <c r="Z4" s="24" t="b">
        <v>0</v>
      </c>
      <c r="AA4" s="24" t="b">
        <v>0</v>
      </c>
      <c r="AB4" s="24" t="b">
        <v>0</v>
      </c>
      <c r="AC4" s="24" t="b">
        <v>0</v>
      </c>
      <c r="AD4" s="24" t="b">
        <v>0</v>
      </c>
      <c r="AE4" s="24" t="b">
        <v>0</v>
      </c>
      <c r="AF4" s="24" t="b">
        <v>0</v>
      </c>
      <c r="AG4" s="24" t="b">
        <v>0</v>
      </c>
      <c r="AH4" s="24" t="b">
        <v>0</v>
      </c>
      <c r="AI4" s="24" t="b">
        <v>0</v>
      </c>
      <c r="AJ4" s="24" t="b">
        <v>0</v>
      </c>
      <c r="AK4" s="24" t="b">
        <v>0</v>
      </c>
      <c r="AL4" s="24" t="b">
        <v>0</v>
      </c>
      <c r="AM4" s="24" t="b">
        <v>0</v>
      </c>
      <c r="AN4" s="24" t="b">
        <v>0</v>
      </c>
      <c r="AO4" s="25">
        <f t="shared" si="5"/>
        <v>0</v>
      </c>
      <c r="AQ4" s="25">
        <f>IFERROR(__xludf.DUMMYFUNCTION("if(iserror(match(true,J4:AN4,0)),0,len(index(split(substitute(substitute(join("","",J4:AN4)&amp;"","",""TRUE,"",""x""),""FALSE,"","",""),"",""),,counta(split(substitute(substitute(join("","",J4:AN4)&amp;"","",""TRUE,"",""x""),""FALSE,"","",""),"","")))))"),0.0)</f>
        <v>0</v>
      </c>
      <c r="AR4" s="25" t="str">
        <f>IFERROR(__xludf.DUMMYFUNCTION("arrayformula( if( sum(J4:AN4 + 0), max( len( split( concatenate( left(J4:AN4) ), ""F"" ) ) ), ""0"" ) )"),"0")</f>
        <v>0</v>
      </c>
      <c r="AS4" s="26">
        <v>9.0</v>
      </c>
      <c r="AT4" s="27">
        <f t="shared" si="6"/>
        <v>0</v>
      </c>
    </row>
    <row r="5">
      <c r="A5" s="31">
        <f t="shared" ref="A5:A9" si="8">A4+1</f>
        <v>2</v>
      </c>
      <c r="B5" s="30">
        <f t="shared" ref="B5:B9" si="9">H4+1</f>
        <v>46027</v>
      </c>
      <c r="C5" s="30">
        <f t="shared" ref="C5:H5" si="7">B5+1</f>
        <v>46028</v>
      </c>
      <c r="D5" s="30">
        <f t="shared" si="7"/>
        <v>46029</v>
      </c>
      <c r="E5" s="30">
        <f t="shared" si="7"/>
        <v>46030</v>
      </c>
      <c r="F5" s="30">
        <f t="shared" si="7"/>
        <v>46031</v>
      </c>
      <c r="G5" s="30">
        <f t="shared" si="7"/>
        <v>46032</v>
      </c>
      <c r="H5" s="30">
        <f t="shared" si="7"/>
        <v>46033</v>
      </c>
      <c r="I5" s="6" t="s">
        <v>11</v>
      </c>
      <c r="J5" s="24" t="b">
        <v>0</v>
      </c>
      <c r="K5" s="24" t="b">
        <v>0</v>
      </c>
      <c r="L5" s="24" t="b">
        <v>0</v>
      </c>
      <c r="M5" s="24" t="b">
        <v>0</v>
      </c>
      <c r="N5" s="24" t="b">
        <v>0</v>
      </c>
      <c r="O5" s="24" t="b">
        <v>0</v>
      </c>
      <c r="P5" s="24" t="b">
        <v>0</v>
      </c>
      <c r="Q5" s="24" t="b">
        <v>0</v>
      </c>
      <c r="R5" s="24" t="b">
        <v>0</v>
      </c>
      <c r="S5" s="24" t="b">
        <v>0</v>
      </c>
      <c r="T5" s="24" t="b">
        <v>0</v>
      </c>
      <c r="U5" s="24" t="b">
        <v>0</v>
      </c>
      <c r="V5" s="24" t="b">
        <v>0</v>
      </c>
      <c r="W5" s="24" t="b">
        <v>0</v>
      </c>
      <c r="X5" s="24" t="b">
        <v>0</v>
      </c>
      <c r="Y5" s="24" t="b">
        <v>0</v>
      </c>
      <c r="Z5" s="24" t="b">
        <v>0</v>
      </c>
      <c r="AA5" s="24" t="b">
        <v>0</v>
      </c>
      <c r="AB5" s="24" t="b">
        <v>0</v>
      </c>
      <c r="AC5" s="24" t="b">
        <v>0</v>
      </c>
      <c r="AD5" s="24" t="b">
        <v>0</v>
      </c>
      <c r="AE5" s="24" t="b">
        <v>0</v>
      </c>
      <c r="AF5" s="24" t="b">
        <v>0</v>
      </c>
      <c r="AG5" s="24" t="b">
        <v>0</v>
      </c>
      <c r="AH5" s="24" t="b">
        <v>0</v>
      </c>
      <c r="AI5" s="24" t="b">
        <v>0</v>
      </c>
      <c r="AJ5" s="24" t="b">
        <v>0</v>
      </c>
      <c r="AK5" s="24" t="b">
        <v>0</v>
      </c>
      <c r="AL5" s="24" t="b">
        <v>0</v>
      </c>
      <c r="AM5" s="24" t="b">
        <v>0</v>
      </c>
      <c r="AN5" s="24" t="b">
        <v>0</v>
      </c>
      <c r="AO5" s="25">
        <f t="shared" si="5"/>
        <v>0</v>
      </c>
      <c r="AQ5" s="25">
        <f>IFERROR(__xludf.DUMMYFUNCTION("if(iserror(match(true,J5:AN5,0)),0,len(index(split(substitute(substitute(join("","",J5:AN5)&amp;"","",""TRUE,"",""x""),""FALSE,"","",""),"",""),,counta(split(substitute(substitute(join("","",J5:AN5)&amp;"","",""TRUE,"",""x""),""FALSE,"","",""),"","")))))"),0.0)</f>
        <v>0</v>
      </c>
      <c r="AR5" s="25" t="str">
        <f>IFERROR(__xludf.DUMMYFUNCTION("arrayformula( if( sum(J5:AN5 + 0), max( len( split( concatenate( left(J5:AN5) ), ""F"" ) ) ), ""0"" ) )"),"0")</f>
        <v>0</v>
      </c>
      <c r="AS5" s="26">
        <v>10.0</v>
      </c>
      <c r="AT5" s="27">
        <f t="shared" si="6"/>
        <v>0</v>
      </c>
    </row>
    <row r="6">
      <c r="A6" s="31">
        <f t="shared" si="8"/>
        <v>3</v>
      </c>
      <c r="B6" s="30">
        <f t="shared" si="9"/>
        <v>46034</v>
      </c>
      <c r="C6" s="30">
        <f t="shared" ref="C6:H6" si="10">B6+1</f>
        <v>46035</v>
      </c>
      <c r="D6" s="30">
        <f t="shared" si="10"/>
        <v>46036</v>
      </c>
      <c r="E6" s="30">
        <f t="shared" si="10"/>
        <v>46037</v>
      </c>
      <c r="F6" s="30">
        <f t="shared" si="10"/>
        <v>46038</v>
      </c>
      <c r="G6" s="30">
        <f t="shared" si="10"/>
        <v>46039</v>
      </c>
      <c r="H6" s="30">
        <f t="shared" si="10"/>
        <v>46040</v>
      </c>
      <c r="I6" s="6" t="s">
        <v>14</v>
      </c>
      <c r="J6" s="24" t="b">
        <v>0</v>
      </c>
      <c r="K6" s="24" t="b">
        <v>0</v>
      </c>
      <c r="L6" s="24" t="b">
        <v>0</v>
      </c>
      <c r="M6" s="24" t="b">
        <v>0</v>
      </c>
      <c r="N6" s="24" t="b">
        <v>0</v>
      </c>
      <c r="O6" s="24" t="b">
        <v>0</v>
      </c>
      <c r="P6" s="24" t="b">
        <v>0</v>
      </c>
      <c r="Q6" s="24" t="b">
        <v>0</v>
      </c>
      <c r="R6" s="24" t="b">
        <v>0</v>
      </c>
      <c r="S6" s="24" t="b">
        <v>0</v>
      </c>
      <c r="T6" s="24" t="b">
        <v>0</v>
      </c>
      <c r="U6" s="24" t="b">
        <v>0</v>
      </c>
      <c r="V6" s="24" t="b">
        <v>0</v>
      </c>
      <c r="W6" s="24" t="b">
        <v>0</v>
      </c>
      <c r="X6" s="24" t="b">
        <v>0</v>
      </c>
      <c r="Y6" s="24" t="b">
        <v>0</v>
      </c>
      <c r="Z6" s="24" t="b">
        <v>0</v>
      </c>
      <c r="AA6" s="24" t="b">
        <v>0</v>
      </c>
      <c r="AB6" s="24" t="b">
        <v>0</v>
      </c>
      <c r="AC6" s="24" t="b">
        <v>0</v>
      </c>
      <c r="AD6" s="24" t="b">
        <v>0</v>
      </c>
      <c r="AE6" s="24" t="b">
        <v>0</v>
      </c>
      <c r="AF6" s="24" t="b">
        <v>0</v>
      </c>
      <c r="AG6" s="24" t="b">
        <v>0</v>
      </c>
      <c r="AH6" s="24" t="b">
        <v>0</v>
      </c>
      <c r="AI6" s="24" t="b">
        <v>0</v>
      </c>
      <c r="AJ6" s="24" t="b">
        <v>0</v>
      </c>
      <c r="AK6" s="24" t="b">
        <v>0</v>
      </c>
      <c r="AL6" s="24" t="b">
        <v>0</v>
      </c>
      <c r="AM6" s="24" t="b">
        <v>0</v>
      </c>
      <c r="AN6" s="24" t="b">
        <v>0</v>
      </c>
      <c r="AO6" s="25">
        <f t="shared" si="5"/>
        <v>0</v>
      </c>
      <c r="AQ6" s="25">
        <f>IFERROR(__xludf.DUMMYFUNCTION("if(iserror(match(true,J6:AN6,0)),0,len(index(split(substitute(substitute(join("","",J6:AN6)&amp;"","",""TRUE,"",""x""),""FALSE,"","",""),"",""),,counta(split(substitute(substitute(join("","",J6:AN6)&amp;"","",""TRUE,"",""x""),""FALSE,"","",""),"","")))))"),0.0)</f>
        <v>0</v>
      </c>
      <c r="AR6" s="25" t="str">
        <f>IFERROR(__xludf.DUMMYFUNCTION("arrayformula( if( sum(J6:AN6 + 0), max( len( split( concatenate( left(J6:AN6) ), ""F"" ) ) ), ""0"" ) )"),"0")</f>
        <v>0</v>
      </c>
      <c r="AS6" s="26">
        <v>11.0</v>
      </c>
      <c r="AT6" s="27">
        <f t="shared" si="6"/>
        <v>0</v>
      </c>
    </row>
    <row r="7">
      <c r="A7" s="31">
        <f t="shared" si="8"/>
        <v>4</v>
      </c>
      <c r="B7" s="30">
        <f t="shared" si="9"/>
        <v>46041</v>
      </c>
      <c r="C7" s="30">
        <f t="shared" ref="C7:H7" si="11">B7+1</f>
        <v>46042</v>
      </c>
      <c r="D7" s="30">
        <f t="shared" si="11"/>
        <v>46043</v>
      </c>
      <c r="E7" s="30">
        <f t="shared" si="11"/>
        <v>46044</v>
      </c>
      <c r="F7" s="30">
        <f t="shared" si="11"/>
        <v>46045</v>
      </c>
      <c r="G7" s="30">
        <f t="shared" si="11"/>
        <v>46046</v>
      </c>
      <c r="H7" s="30">
        <f t="shared" si="11"/>
        <v>46047</v>
      </c>
      <c r="I7" s="6" t="s">
        <v>17</v>
      </c>
      <c r="J7" s="24" t="b">
        <v>0</v>
      </c>
      <c r="K7" s="24" t="b">
        <v>0</v>
      </c>
      <c r="L7" s="24" t="b">
        <v>0</v>
      </c>
      <c r="M7" s="24" t="b">
        <v>0</v>
      </c>
      <c r="N7" s="24" t="b">
        <v>0</v>
      </c>
      <c r="O7" s="24" t="b">
        <v>0</v>
      </c>
      <c r="P7" s="24" t="b">
        <v>0</v>
      </c>
      <c r="Q7" s="24" t="b">
        <v>0</v>
      </c>
      <c r="R7" s="24" t="b">
        <v>0</v>
      </c>
      <c r="S7" s="24" t="b">
        <v>0</v>
      </c>
      <c r="T7" s="24" t="b">
        <v>0</v>
      </c>
      <c r="U7" s="24" t="b">
        <v>1</v>
      </c>
      <c r="V7" s="24" t="b">
        <v>0</v>
      </c>
      <c r="W7" s="24" t="b">
        <v>0</v>
      </c>
      <c r="X7" s="24" t="b">
        <v>0</v>
      </c>
      <c r="Y7" s="24" t="b">
        <v>0</v>
      </c>
      <c r="Z7" s="24" t="b">
        <v>0</v>
      </c>
      <c r="AA7" s="24" t="b">
        <v>0</v>
      </c>
      <c r="AB7" s="24" t="b">
        <v>0</v>
      </c>
      <c r="AC7" s="24" t="b">
        <v>0</v>
      </c>
      <c r="AD7" s="24" t="b">
        <v>0</v>
      </c>
      <c r="AE7" s="24" t="b">
        <v>0</v>
      </c>
      <c r="AF7" s="24" t="b">
        <v>0</v>
      </c>
      <c r="AG7" s="24" t="b">
        <v>0</v>
      </c>
      <c r="AH7" s="24" t="b">
        <v>0</v>
      </c>
      <c r="AI7" s="24" t="b">
        <v>0</v>
      </c>
      <c r="AJ7" s="24" t="b">
        <v>0</v>
      </c>
      <c r="AK7" s="24" t="b">
        <v>0</v>
      </c>
      <c r="AL7" s="24" t="b">
        <v>0</v>
      </c>
      <c r="AM7" s="24" t="b">
        <v>0</v>
      </c>
      <c r="AN7" s="24" t="b">
        <v>0</v>
      </c>
      <c r="AO7" s="25">
        <f t="shared" si="5"/>
        <v>1</v>
      </c>
      <c r="AQ7" s="25">
        <f>IFERROR(__xludf.DUMMYFUNCTION("if(iserror(match(true,J7:AN7,0)),0,len(index(split(substitute(substitute(join("","",J7:AN7)&amp;"","",""TRUE,"",""x""),""FALSE,"","",""),"",""),,counta(split(substitute(substitute(join("","",J7:AN7)&amp;"","",""TRUE,"",""x""),""FALSE,"","",""),"","")))))"),1.0)</f>
        <v>1</v>
      </c>
      <c r="AR7" s="25">
        <f>IFERROR(__xludf.DUMMYFUNCTION("arrayformula( if( sum(J7:AN7 + 0), max( len( split( concatenate( left(J7:AN7) ), ""F"" ) ) ), ""0"" ) )"),1.0)</f>
        <v>1</v>
      </c>
      <c r="AS7" s="26">
        <v>12.0</v>
      </c>
      <c r="AT7" s="27">
        <f t="shared" si="6"/>
        <v>0.08333333333</v>
      </c>
    </row>
    <row r="8">
      <c r="A8" s="31">
        <f t="shared" si="8"/>
        <v>5</v>
      </c>
      <c r="B8" s="30">
        <f t="shared" si="9"/>
        <v>46048</v>
      </c>
      <c r="C8" s="30">
        <f t="shared" ref="C8:H8" si="12">B8+1</f>
        <v>46049</v>
      </c>
      <c r="D8" s="30">
        <f t="shared" si="12"/>
        <v>46050</v>
      </c>
      <c r="E8" s="30">
        <f t="shared" si="12"/>
        <v>46051</v>
      </c>
      <c r="F8" s="30">
        <f t="shared" si="12"/>
        <v>46052</v>
      </c>
      <c r="G8" s="30">
        <f t="shared" si="12"/>
        <v>46053</v>
      </c>
      <c r="H8" s="30">
        <f t="shared" si="12"/>
        <v>46054</v>
      </c>
      <c r="I8" s="6" t="s">
        <v>20</v>
      </c>
      <c r="J8" s="24" t="b">
        <v>0</v>
      </c>
      <c r="K8" s="24" t="b">
        <v>0</v>
      </c>
      <c r="L8" s="24" t="b">
        <v>0</v>
      </c>
      <c r="M8" s="24" t="b">
        <v>0</v>
      </c>
      <c r="N8" s="24" t="b">
        <v>0</v>
      </c>
      <c r="O8" s="24" t="b">
        <v>0</v>
      </c>
      <c r="P8" s="24" t="b">
        <v>0</v>
      </c>
      <c r="Q8" s="24" t="b">
        <v>0</v>
      </c>
      <c r="R8" s="24" t="b">
        <v>0</v>
      </c>
      <c r="S8" s="24" t="b">
        <v>0</v>
      </c>
      <c r="T8" s="24" t="b">
        <v>0</v>
      </c>
      <c r="U8" s="24" t="b">
        <v>0</v>
      </c>
      <c r="V8" s="24" t="b">
        <v>0</v>
      </c>
      <c r="W8" s="24" t="b">
        <v>0</v>
      </c>
      <c r="X8" s="24" t="b">
        <v>0</v>
      </c>
      <c r="Y8" s="24" t="b">
        <v>0</v>
      </c>
      <c r="Z8" s="24" t="b">
        <v>0</v>
      </c>
      <c r="AA8" s="24" t="b">
        <v>0</v>
      </c>
      <c r="AB8" s="24" t="b">
        <v>0</v>
      </c>
      <c r="AC8" s="24" t="b">
        <v>0</v>
      </c>
      <c r="AD8" s="24" t="b">
        <v>0</v>
      </c>
      <c r="AE8" s="24" t="b">
        <v>0</v>
      </c>
      <c r="AF8" s="24" t="b">
        <v>0</v>
      </c>
      <c r="AG8" s="24" t="b">
        <v>0</v>
      </c>
      <c r="AH8" s="24" t="b">
        <v>0</v>
      </c>
      <c r="AI8" s="24" t="b">
        <v>0</v>
      </c>
      <c r="AJ8" s="24" t="b">
        <v>0</v>
      </c>
      <c r="AK8" s="24" t="b">
        <v>0</v>
      </c>
      <c r="AL8" s="24" t="b">
        <v>0</v>
      </c>
      <c r="AM8" s="24" t="b">
        <v>0</v>
      </c>
      <c r="AN8" s="24" t="b">
        <v>0</v>
      </c>
      <c r="AO8" s="25">
        <f t="shared" si="5"/>
        <v>0</v>
      </c>
      <c r="AQ8" s="25">
        <f>IFERROR(__xludf.DUMMYFUNCTION("if(iserror(match(true,J8:AN8,0)),0,len(index(split(substitute(substitute(join("","",J8:AN8)&amp;"","",""TRUE,"",""x""),""FALSE,"","",""),"",""),,counta(split(substitute(substitute(join("","",J8:AN8)&amp;"","",""TRUE,"",""x""),""FALSE,"","",""),"","")))))"),0.0)</f>
        <v>0</v>
      </c>
      <c r="AR8" s="25" t="str">
        <f>IFERROR(__xludf.DUMMYFUNCTION("arrayformula( if( sum(J8:AN8 + 0), max( len( split( concatenate( left(J8:AN8) ), ""F"" ) ) ), ""0"" ) )"),"0")</f>
        <v>0</v>
      </c>
      <c r="AS8" s="26">
        <v>13.0</v>
      </c>
      <c r="AT8" s="27">
        <f t="shared" si="6"/>
        <v>0</v>
      </c>
    </row>
    <row r="9">
      <c r="A9" s="31">
        <f t="shared" si="8"/>
        <v>6</v>
      </c>
      <c r="B9" s="30">
        <f t="shared" si="9"/>
        <v>46055</v>
      </c>
      <c r="C9" s="30">
        <f t="shared" ref="C9:H9" si="13">B9+1</f>
        <v>46056</v>
      </c>
      <c r="D9" s="30">
        <f t="shared" si="13"/>
        <v>46057</v>
      </c>
      <c r="E9" s="30">
        <f t="shared" si="13"/>
        <v>46058</v>
      </c>
      <c r="F9" s="30">
        <f t="shared" si="13"/>
        <v>46059</v>
      </c>
      <c r="G9" s="30">
        <f t="shared" si="13"/>
        <v>46060</v>
      </c>
      <c r="H9" s="30">
        <f t="shared" si="13"/>
        <v>46061</v>
      </c>
      <c r="I9" s="6"/>
      <c r="J9" s="24" t="b">
        <v>0</v>
      </c>
      <c r="K9" s="24" t="b">
        <v>0</v>
      </c>
      <c r="L9" s="24" t="b">
        <v>0</v>
      </c>
      <c r="M9" s="24" t="b">
        <v>0</v>
      </c>
      <c r="N9" s="24" t="b">
        <v>0</v>
      </c>
      <c r="O9" s="24" t="b">
        <v>0</v>
      </c>
      <c r="P9" s="24" t="b">
        <v>0</v>
      </c>
      <c r="Q9" s="24" t="b">
        <v>0</v>
      </c>
      <c r="R9" s="24" t="b">
        <v>0</v>
      </c>
      <c r="S9" s="24" t="b">
        <v>0</v>
      </c>
      <c r="T9" s="24" t="b">
        <v>0</v>
      </c>
      <c r="U9" s="24" t="b">
        <v>0</v>
      </c>
      <c r="V9" s="24" t="b">
        <v>0</v>
      </c>
      <c r="W9" s="24" t="b">
        <v>0</v>
      </c>
      <c r="X9" s="24" t="b">
        <v>0</v>
      </c>
      <c r="Y9" s="24" t="b">
        <v>0</v>
      </c>
      <c r="Z9" s="24" t="b">
        <v>0</v>
      </c>
      <c r="AA9" s="24" t="b">
        <v>0</v>
      </c>
      <c r="AB9" s="24" t="b">
        <v>0</v>
      </c>
      <c r="AC9" s="24" t="b">
        <v>0</v>
      </c>
      <c r="AD9" s="24" t="b">
        <v>0</v>
      </c>
      <c r="AE9" s="24" t="b">
        <v>0</v>
      </c>
      <c r="AF9" s="24" t="b">
        <v>0</v>
      </c>
      <c r="AG9" s="24" t="b">
        <v>0</v>
      </c>
      <c r="AH9" s="24" t="b">
        <v>0</v>
      </c>
      <c r="AI9" s="24" t="b">
        <v>0</v>
      </c>
      <c r="AJ9" s="24" t="b">
        <v>0</v>
      </c>
      <c r="AK9" s="24" t="b">
        <v>0</v>
      </c>
      <c r="AL9" s="24" t="b">
        <v>0</v>
      </c>
      <c r="AM9" s="24" t="b">
        <v>0</v>
      </c>
      <c r="AN9" s="24" t="b">
        <v>0</v>
      </c>
      <c r="AO9" s="25">
        <f t="shared" si="5"/>
        <v>0</v>
      </c>
      <c r="AQ9" s="25">
        <f>IFERROR(__xludf.DUMMYFUNCTION("if(iserror(match(true,J9:AN9,0)),0,len(index(split(substitute(substitute(join("","",J9:AN9)&amp;"","",""TRUE,"",""x""),""FALSE,"","",""),"",""),,counta(split(substitute(substitute(join("","",J9:AN9)&amp;"","",""TRUE,"",""x""),""FALSE,"","",""),"","")))))"),0.0)</f>
        <v>0</v>
      </c>
      <c r="AR9" s="25" t="str">
        <f>IFERROR(__xludf.DUMMYFUNCTION("arrayformula( if( sum(J9:AN9 + 0), max( len( split( concatenate( left(J9:AN9) ), ""F"" ) ) ), ""0"" ) )"),"0")</f>
        <v>0</v>
      </c>
      <c r="AS9" s="26">
        <v>14.0</v>
      </c>
      <c r="AT9" s="27">
        <f t="shared" si="6"/>
        <v>0</v>
      </c>
    </row>
    <row r="10" hidden="1">
      <c r="I10" s="6"/>
      <c r="J10" s="24" t="b">
        <v>0</v>
      </c>
      <c r="K10" s="24" t="b">
        <v>0</v>
      </c>
      <c r="L10" s="24" t="b">
        <v>0</v>
      </c>
      <c r="M10" s="24" t="b">
        <v>0</v>
      </c>
      <c r="N10" s="24" t="b">
        <v>0</v>
      </c>
      <c r="O10" s="24" t="b">
        <v>0</v>
      </c>
      <c r="P10" s="24" t="b">
        <v>0</v>
      </c>
      <c r="Q10" s="24" t="b">
        <v>0</v>
      </c>
      <c r="R10" s="24" t="b">
        <v>0</v>
      </c>
      <c r="S10" s="24" t="b">
        <v>0</v>
      </c>
      <c r="T10" s="24" t="b">
        <v>0</v>
      </c>
      <c r="U10" s="24" t="b">
        <v>0</v>
      </c>
      <c r="V10" s="24" t="b">
        <v>0</v>
      </c>
      <c r="W10" s="24" t="b">
        <v>0</v>
      </c>
      <c r="X10" s="24" t="b">
        <v>0</v>
      </c>
      <c r="Y10" s="24" t="b">
        <v>0</v>
      </c>
      <c r="Z10" s="24" t="b">
        <v>0</v>
      </c>
      <c r="AA10" s="24" t="b">
        <v>0</v>
      </c>
      <c r="AB10" s="24" t="b">
        <v>0</v>
      </c>
      <c r="AC10" s="24" t="b">
        <v>0</v>
      </c>
      <c r="AD10" s="24" t="b">
        <v>0</v>
      </c>
      <c r="AE10" s="24" t="b">
        <v>0</v>
      </c>
      <c r="AF10" s="24" t="b">
        <v>0</v>
      </c>
      <c r="AG10" s="24" t="b">
        <v>0</v>
      </c>
      <c r="AH10" s="24" t="b">
        <v>0</v>
      </c>
      <c r="AI10" s="24" t="b">
        <v>0</v>
      </c>
      <c r="AJ10" s="24" t="b">
        <v>0</v>
      </c>
      <c r="AK10" s="24" t="b">
        <v>0</v>
      </c>
      <c r="AL10" s="24" t="b">
        <v>0</v>
      </c>
      <c r="AM10" s="24" t="b">
        <v>0</v>
      </c>
      <c r="AN10" s="24" t="b">
        <v>0</v>
      </c>
      <c r="AO10" s="25">
        <f t="shared" si="5"/>
        <v>0</v>
      </c>
      <c r="AQ10" s="25">
        <f>IFERROR(__xludf.DUMMYFUNCTION("if(iserror(match(true,J10:AN10,0)),0,len(index(split(substitute(substitute(join("","",J10:AN10)&amp;"","",""TRUE,"",""x""),""FALSE,"","",""),"",""),,counta(split(substitute(substitute(join("","",J10:AN10)&amp;"","",""TRUE,"",""x""),""FALSE,"","",""),"","")))))"),0.0)</f>
        <v>0</v>
      </c>
      <c r="AR10" s="25" t="str">
        <f>IFERROR(__xludf.DUMMYFUNCTION("arrayformula( if( sum(J10:AN10 + 0), max( len( split( concatenate( left(J10:AN10) ), ""F"" ) ) ), ""0"" ) )"),"0")</f>
        <v>0</v>
      </c>
      <c r="AS10" s="26">
        <v>15.0</v>
      </c>
      <c r="AT10" s="27">
        <f t="shared" si="6"/>
        <v>0</v>
      </c>
    </row>
    <row r="11" hidden="1">
      <c r="I11" s="6"/>
      <c r="J11" s="24" t="b">
        <v>0</v>
      </c>
      <c r="K11" s="24" t="b">
        <v>0</v>
      </c>
      <c r="L11" s="24" t="b">
        <v>0</v>
      </c>
      <c r="M11" s="24" t="b">
        <v>0</v>
      </c>
      <c r="N11" s="24" t="b">
        <v>0</v>
      </c>
      <c r="O11" s="24" t="b">
        <v>0</v>
      </c>
      <c r="P11" s="24" t="b">
        <v>0</v>
      </c>
      <c r="Q11" s="24" t="b">
        <v>0</v>
      </c>
      <c r="R11" s="24" t="b">
        <v>0</v>
      </c>
      <c r="S11" s="24" t="b">
        <v>0</v>
      </c>
      <c r="T11" s="24" t="b">
        <v>0</v>
      </c>
      <c r="U11" s="24" t="b">
        <v>0</v>
      </c>
      <c r="V11" s="24" t="b">
        <v>0</v>
      </c>
      <c r="W11" s="24" t="b">
        <v>0</v>
      </c>
      <c r="X11" s="24" t="b">
        <v>0</v>
      </c>
      <c r="Y11" s="24" t="b">
        <v>0</v>
      </c>
      <c r="Z11" s="24" t="b">
        <v>0</v>
      </c>
      <c r="AA11" s="24" t="b">
        <v>0</v>
      </c>
      <c r="AB11" s="24" t="b">
        <v>0</v>
      </c>
      <c r="AC11" s="24" t="b">
        <v>0</v>
      </c>
      <c r="AD11" s="24" t="b">
        <v>0</v>
      </c>
      <c r="AE11" s="24" t="b">
        <v>0</v>
      </c>
      <c r="AF11" s="24" t="b">
        <v>0</v>
      </c>
      <c r="AG11" s="24" t="b">
        <v>0</v>
      </c>
      <c r="AH11" s="24" t="b">
        <v>0</v>
      </c>
      <c r="AI11" s="24" t="b">
        <v>0</v>
      </c>
      <c r="AJ11" s="24" t="b">
        <v>0</v>
      </c>
      <c r="AK11" s="24" t="b">
        <v>0</v>
      </c>
      <c r="AL11" s="24" t="b">
        <v>0</v>
      </c>
      <c r="AM11" s="24" t="b">
        <v>0</v>
      </c>
      <c r="AN11" s="24" t="b">
        <v>0</v>
      </c>
      <c r="AO11" s="25">
        <f t="shared" si="5"/>
        <v>0</v>
      </c>
      <c r="AQ11" s="25">
        <f>IFERROR(__xludf.DUMMYFUNCTION("if(iserror(match(true,J11:AN11,0)),0,len(index(split(substitute(substitute(join("","",J11:AN11)&amp;"","",""TRUE,"",""x""),""FALSE,"","",""),"",""),,counta(split(substitute(substitute(join("","",J11:AN11)&amp;"","",""TRUE,"",""x""),""FALSE,"","",""),"","")))))"),0.0)</f>
        <v>0</v>
      </c>
      <c r="AR11" s="25" t="str">
        <f>IFERROR(__xludf.DUMMYFUNCTION("arrayformula( if( sum(J11:AN11 + 0), max( len( split( concatenate( left(J11:AN11) ), ""F"" ) ) ), ""0"" ) )"),"0")</f>
        <v>0</v>
      </c>
      <c r="AS11" s="26">
        <v>15.0</v>
      </c>
      <c r="AT11" s="27">
        <f t="shared" si="6"/>
        <v>0</v>
      </c>
    </row>
    <row r="12" hidden="1">
      <c r="I12" s="6"/>
      <c r="J12" s="24" t="b">
        <v>0</v>
      </c>
      <c r="K12" s="24" t="b">
        <v>0</v>
      </c>
      <c r="L12" s="24" t="b">
        <v>0</v>
      </c>
      <c r="M12" s="24" t="b">
        <v>0</v>
      </c>
      <c r="N12" s="24" t="b">
        <v>0</v>
      </c>
      <c r="O12" s="24" t="b">
        <v>0</v>
      </c>
      <c r="P12" s="24" t="b">
        <v>0</v>
      </c>
      <c r="Q12" s="24" t="b">
        <v>0</v>
      </c>
      <c r="R12" s="24" t="b">
        <v>0</v>
      </c>
      <c r="S12" s="24" t="b">
        <v>0</v>
      </c>
      <c r="T12" s="24" t="b">
        <v>0</v>
      </c>
      <c r="U12" s="24" t="b">
        <v>0</v>
      </c>
      <c r="V12" s="24" t="b">
        <v>0</v>
      </c>
      <c r="W12" s="24" t="b">
        <v>0</v>
      </c>
      <c r="X12" s="24" t="b">
        <v>0</v>
      </c>
      <c r="Y12" s="24" t="b">
        <v>0</v>
      </c>
      <c r="Z12" s="24" t="b">
        <v>0</v>
      </c>
      <c r="AA12" s="24" t="b">
        <v>0</v>
      </c>
      <c r="AB12" s="24" t="b">
        <v>0</v>
      </c>
      <c r="AC12" s="24" t="b">
        <v>0</v>
      </c>
      <c r="AD12" s="24" t="b">
        <v>0</v>
      </c>
      <c r="AE12" s="24" t="b">
        <v>0</v>
      </c>
      <c r="AF12" s="24" t="b">
        <v>0</v>
      </c>
      <c r="AG12" s="24" t="b">
        <v>0</v>
      </c>
      <c r="AH12" s="24" t="b">
        <v>0</v>
      </c>
      <c r="AI12" s="24" t="b">
        <v>0</v>
      </c>
      <c r="AJ12" s="24" t="b">
        <v>0</v>
      </c>
      <c r="AK12" s="24" t="b">
        <v>0</v>
      </c>
      <c r="AL12" s="24" t="b">
        <v>0</v>
      </c>
      <c r="AM12" s="24" t="b">
        <v>0</v>
      </c>
      <c r="AN12" s="24" t="b">
        <v>0</v>
      </c>
      <c r="AO12" s="25">
        <f t="shared" si="5"/>
        <v>0</v>
      </c>
      <c r="AQ12" s="25">
        <f>IFERROR(__xludf.DUMMYFUNCTION("if(iserror(match(true,J12:AN12,0)),0,len(index(split(substitute(substitute(join("","",J12:AN12)&amp;"","",""TRUE,"",""x""),""FALSE,"","",""),"",""),,counta(split(substitute(substitute(join("","",J12:AN12)&amp;"","",""TRUE,"",""x""),""FALSE,"","",""),"","")))))"),0.0)</f>
        <v>0</v>
      </c>
      <c r="AR12" s="25" t="str">
        <f>IFERROR(__xludf.DUMMYFUNCTION("arrayformula( if( sum(J12:AN12 + 0), max( len( split( concatenate( left(J12:AN12) ), ""F"" ) ) ), ""0"" ) )"),"0")</f>
        <v>0</v>
      </c>
      <c r="AS12" s="26">
        <v>15.0</v>
      </c>
      <c r="AT12" s="27">
        <f t="shared" si="6"/>
        <v>0</v>
      </c>
    </row>
    <row r="13" hidden="1">
      <c r="I13" s="6"/>
      <c r="J13" s="24" t="b">
        <v>0</v>
      </c>
      <c r="K13" s="24" t="b">
        <v>0</v>
      </c>
      <c r="L13" s="24" t="b">
        <v>0</v>
      </c>
      <c r="M13" s="24" t="b">
        <v>0</v>
      </c>
      <c r="N13" s="24" t="b">
        <v>0</v>
      </c>
      <c r="O13" s="24" t="b">
        <v>0</v>
      </c>
      <c r="P13" s="24" t="b">
        <v>0</v>
      </c>
      <c r="Q13" s="24" t="b">
        <v>0</v>
      </c>
      <c r="R13" s="24" t="b">
        <v>0</v>
      </c>
      <c r="S13" s="24" t="b">
        <v>0</v>
      </c>
      <c r="T13" s="24" t="b">
        <v>0</v>
      </c>
      <c r="U13" s="24" t="b">
        <v>0</v>
      </c>
      <c r="V13" s="24" t="b">
        <v>0</v>
      </c>
      <c r="W13" s="24" t="b">
        <v>0</v>
      </c>
      <c r="X13" s="24" t="b">
        <v>0</v>
      </c>
      <c r="Y13" s="24" t="b">
        <v>0</v>
      </c>
      <c r="Z13" s="24" t="b">
        <v>0</v>
      </c>
      <c r="AA13" s="24" t="b">
        <v>0</v>
      </c>
      <c r="AB13" s="24" t="b">
        <v>0</v>
      </c>
      <c r="AC13" s="24" t="b">
        <v>0</v>
      </c>
      <c r="AD13" s="24" t="b">
        <v>0</v>
      </c>
      <c r="AE13" s="24" t="b">
        <v>0</v>
      </c>
      <c r="AF13" s="24" t="b">
        <v>0</v>
      </c>
      <c r="AG13" s="24" t="b">
        <v>0</v>
      </c>
      <c r="AH13" s="24" t="b">
        <v>0</v>
      </c>
      <c r="AI13" s="24" t="b">
        <v>0</v>
      </c>
      <c r="AJ13" s="24" t="b">
        <v>0</v>
      </c>
      <c r="AK13" s="24" t="b">
        <v>0</v>
      </c>
      <c r="AL13" s="24" t="b">
        <v>0</v>
      </c>
      <c r="AM13" s="24" t="b">
        <v>0</v>
      </c>
      <c r="AN13" s="24" t="b">
        <v>0</v>
      </c>
      <c r="AO13" s="25">
        <f t="shared" si="5"/>
        <v>0</v>
      </c>
      <c r="AQ13" s="25">
        <f>IFERROR(__xludf.DUMMYFUNCTION("if(iserror(match(true,J13:AN13,0)),0,len(index(split(substitute(substitute(join("","",J13:AN13)&amp;"","",""TRUE,"",""x""),""FALSE,"","",""),"",""),,counta(split(substitute(substitute(join("","",J13:AN13)&amp;"","",""TRUE,"",""x""),""FALSE,"","",""),"","")))))"),0.0)</f>
        <v>0</v>
      </c>
      <c r="AR13" s="25" t="str">
        <f>IFERROR(__xludf.DUMMYFUNCTION("arrayformula( if( sum(J13:AN13 + 0), max( len( split( concatenate( left(J13:AN13) ), ""F"" ) ) ), ""0"" ) )"),"0")</f>
        <v>0</v>
      </c>
      <c r="AS13" s="26">
        <v>15.0</v>
      </c>
      <c r="AT13" s="27">
        <f t="shared" si="6"/>
        <v>0</v>
      </c>
    </row>
    <row r="14" hidden="1">
      <c r="I14" s="6"/>
      <c r="J14" s="24" t="b">
        <v>0</v>
      </c>
      <c r="K14" s="24" t="b">
        <v>0</v>
      </c>
      <c r="L14" s="24" t="b">
        <v>0</v>
      </c>
      <c r="M14" s="24" t="b">
        <v>0</v>
      </c>
      <c r="N14" s="24" t="b">
        <v>0</v>
      </c>
      <c r="O14" s="24" t="b">
        <v>0</v>
      </c>
      <c r="P14" s="24" t="b">
        <v>0</v>
      </c>
      <c r="Q14" s="24" t="b">
        <v>0</v>
      </c>
      <c r="R14" s="24" t="b">
        <v>0</v>
      </c>
      <c r="S14" s="24" t="b">
        <v>0</v>
      </c>
      <c r="T14" s="24" t="b">
        <v>0</v>
      </c>
      <c r="U14" s="24" t="b">
        <v>0</v>
      </c>
      <c r="V14" s="24" t="b">
        <v>0</v>
      </c>
      <c r="W14" s="24" t="b">
        <v>0</v>
      </c>
      <c r="X14" s="24" t="b">
        <v>0</v>
      </c>
      <c r="Y14" s="24" t="b">
        <v>0</v>
      </c>
      <c r="Z14" s="24" t="b">
        <v>0</v>
      </c>
      <c r="AA14" s="24" t="b">
        <v>0</v>
      </c>
      <c r="AB14" s="24" t="b">
        <v>0</v>
      </c>
      <c r="AC14" s="24" t="b">
        <v>0</v>
      </c>
      <c r="AD14" s="24" t="b">
        <v>0</v>
      </c>
      <c r="AE14" s="24" t="b">
        <v>0</v>
      </c>
      <c r="AF14" s="24" t="b">
        <v>0</v>
      </c>
      <c r="AG14" s="24" t="b">
        <v>0</v>
      </c>
      <c r="AH14" s="24" t="b">
        <v>0</v>
      </c>
      <c r="AI14" s="24" t="b">
        <v>0</v>
      </c>
      <c r="AJ14" s="24" t="b">
        <v>0</v>
      </c>
      <c r="AK14" s="24" t="b">
        <v>0</v>
      </c>
      <c r="AL14" s="24" t="b">
        <v>0</v>
      </c>
      <c r="AM14" s="24" t="b">
        <v>0</v>
      </c>
      <c r="AN14" s="24" t="b">
        <v>0</v>
      </c>
      <c r="AO14" s="25">
        <f t="shared" si="5"/>
        <v>0</v>
      </c>
      <c r="AQ14" s="25">
        <f>IFERROR(__xludf.DUMMYFUNCTION("if(iserror(match(true,J14:AN14,0)),0,len(index(split(substitute(substitute(join("","",J14:AN14)&amp;"","",""TRUE,"",""x""),""FALSE,"","",""),"",""),,counta(split(substitute(substitute(join("","",J14:AN14)&amp;"","",""TRUE,"",""x""),""FALSE,"","",""),"","")))))"),0.0)</f>
        <v>0</v>
      </c>
      <c r="AR14" s="25" t="str">
        <f>IFERROR(__xludf.DUMMYFUNCTION("arrayformula( if( sum(J14:AN14 + 0), max( len( split( concatenate( left(J14:AN14) ), ""F"" ) ) ), ""0"" ) )"),"0")</f>
        <v>0</v>
      </c>
      <c r="AS14" s="26">
        <v>15.0</v>
      </c>
      <c r="AT14" s="27">
        <f t="shared" si="6"/>
        <v>0</v>
      </c>
    </row>
    <row r="15" hidden="1">
      <c r="I15" s="6"/>
      <c r="J15" s="24" t="b">
        <v>0</v>
      </c>
      <c r="K15" s="24" t="b">
        <v>0</v>
      </c>
      <c r="L15" s="24" t="b">
        <v>0</v>
      </c>
      <c r="M15" s="24" t="b">
        <v>0</v>
      </c>
      <c r="N15" s="24" t="b">
        <v>0</v>
      </c>
      <c r="O15" s="24" t="b">
        <v>0</v>
      </c>
      <c r="P15" s="24" t="b">
        <v>0</v>
      </c>
      <c r="Q15" s="24" t="b">
        <v>0</v>
      </c>
      <c r="R15" s="24" t="b">
        <v>0</v>
      </c>
      <c r="S15" s="24" t="b">
        <v>0</v>
      </c>
      <c r="T15" s="24" t="b">
        <v>0</v>
      </c>
      <c r="U15" s="24" t="b">
        <v>0</v>
      </c>
      <c r="V15" s="24" t="b">
        <v>0</v>
      </c>
      <c r="W15" s="24" t="b">
        <v>0</v>
      </c>
      <c r="X15" s="24" t="b">
        <v>0</v>
      </c>
      <c r="Y15" s="24" t="b">
        <v>0</v>
      </c>
      <c r="Z15" s="24" t="b">
        <v>0</v>
      </c>
      <c r="AA15" s="24" t="b">
        <v>0</v>
      </c>
      <c r="AB15" s="24" t="b">
        <v>0</v>
      </c>
      <c r="AC15" s="24" t="b">
        <v>0</v>
      </c>
      <c r="AD15" s="24" t="b">
        <v>0</v>
      </c>
      <c r="AE15" s="24" t="b">
        <v>0</v>
      </c>
      <c r="AF15" s="24" t="b">
        <v>0</v>
      </c>
      <c r="AG15" s="24" t="b">
        <v>0</v>
      </c>
      <c r="AH15" s="24" t="b">
        <v>0</v>
      </c>
      <c r="AI15" s="24" t="b">
        <v>0</v>
      </c>
      <c r="AJ15" s="24" t="b">
        <v>0</v>
      </c>
      <c r="AK15" s="24" t="b">
        <v>0</v>
      </c>
      <c r="AL15" s="24" t="b">
        <v>0</v>
      </c>
      <c r="AM15" s="24" t="b">
        <v>0</v>
      </c>
      <c r="AN15" s="24" t="b">
        <v>0</v>
      </c>
      <c r="AO15" s="25">
        <f t="shared" si="5"/>
        <v>0</v>
      </c>
      <c r="AQ15" s="25">
        <f>IFERROR(__xludf.DUMMYFUNCTION("if(iserror(match(true,J15:AN15,0)),0,len(index(split(substitute(substitute(join("","",J15:AN15)&amp;"","",""TRUE,"",""x""),""FALSE,"","",""),"",""),,counta(split(substitute(substitute(join("","",J15:AN15)&amp;"","",""TRUE,"",""x""),""FALSE,"","",""),"","")))))"),0.0)</f>
        <v>0</v>
      </c>
      <c r="AR15" s="25" t="str">
        <f>IFERROR(__xludf.DUMMYFUNCTION("arrayformula( if( sum(J15:AN15 + 0), max( len( split( concatenate( left(J15:AN15) ), ""F"" ) ) ), ""0"" ) )"),"0")</f>
        <v>0</v>
      </c>
      <c r="AS15" s="26">
        <v>15.0</v>
      </c>
      <c r="AT15" s="27">
        <f t="shared" si="6"/>
        <v>0</v>
      </c>
    </row>
    <row r="16" hidden="1">
      <c r="I16" s="6"/>
      <c r="J16" s="24" t="b">
        <v>0</v>
      </c>
      <c r="K16" s="24" t="b">
        <v>0</v>
      </c>
      <c r="L16" s="24" t="b">
        <v>0</v>
      </c>
      <c r="M16" s="24" t="b">
        <v>0</v>
      </c>
      <c r="N16" s="24" t="b">
        <v>0</v>
      </c>
      <c r="O16" s="24" t="b">
        <v>0</v>
      </c>
      <c r="P16" s="24" t="b">
        <v>0</v>
      </c>
      <c r="Q16" s="24" t="b">
        <v>0</v>
      </c>
      <c r="R16" s="24" t="b">
        <v>0</v>
      </c>
      <c r="S16" s="24" t="b">
        <v>0</v>
      </c>
      <c r="T16" s="24" t="b">
        <v>0</v>
      </c>
      <c r="U16" s="24" t="b">
        <v>0</v>
      </c>
      <c r="V16" s="24" t="b">
        <v>0</v>
      </c>
      <c r="W16" s="24" t="b">
        <v>0</v>
      </c>
      <c r="X16" s="24" t="b">
        <v>0</v>
      </c>
      <c r="Y16" s="24" t="b">
        <v>0</v>
      </c>
      <c r="Z16" s="24" t="b">
        <v>0</v>
      </c>
      <c r="AA16" s="24" t="b">
        <v>0</v>
      </c>
      <c r="AB16" s="24" t="b">
        <v>0</v>
      </c>
      <c r="AC16" s="24" t="b">
        <v>0</v>
      </c>
      <c r="AD16" s="24" t="b">
        <v>0</v>
      </c>
      <c r="AE16" s="24" t="b">
        <v>0</v>
      </c>
      <c r="AF16" s="24" t="b">
        <v>0</v>
      </c>
      <c r="AG16" s="24" t="b">
        <v>0</v>
      </c>
      <c r="AH16" s="24" t="b">
        <v>0</v>
      </c>
      <c r="AI16" s="24" t="b">
        <v>0</v>
      </c>
      <c r="AJ16" s="24" t="b">
        <v>0</v>
      </c>
      <c r="AK16" s="24" t="b">
        <v>0</v>
      </c>
      <c r="AL16" s="24" t="b">
        <v>0</v>
      </c>
      <c r="AM16" s="24" t="b">
        <v>0</v>
      </c>
      <c r="AN16" s="24" t="b">
        <v>0</v>
      </c>
      <c r="AO16" s="25">
        <f t="shared" si="5"/>
        <v>0</v>
      </c>
      <c r="AQ16" s="25">
        <f>IFERROR(__xludf.DUMMYFUNCTION("if(iserror(match(true,J16:AN16,0)),0,len(index(split(substitute(substitute(join("","",J16:AN16)&amp;"","",""TRUE,"",""x""),""FALSE,"","",""),"",""),,counta(split(substitute(substitute(join("","",J16:AN16)&amp;"","",""TRUE,"",""x""),""FALSE,"","",""),"","")))))"),0.0)</f>
        <v>0</v>
      </c>
      <c r="AR16" s="25" t="str">
        <f>IFERROR(__xludf.DUMMYFUNCTION("arrayformula( if( sum(J16:AN16 + 0), max( len( split( concatenate( left(J16:AN16) ), ""F"" ) ) ), ""0"" ) )"),"0")</f>
        <v>0</v>
      </c>
      <c r="AS16" s="26">
        <v>15.0</v>
      </c>
      <c r="AT16" s="27">
        <f t="shared" si="6"/>
        <v>0</v>
      </c>
    </row>
    <row r="17" hidden="1">
      <c r="I17" s="6"/>
      <c r="J17" s="24" t="b">
        <v>0</v>
      </c>
      <c r="K17" s="24" t="b">
        <v>0</v>
      </c>
      <c r="L17" s="24" t="b">
        <v>0</v>
      </c>
      <c r="M17" s="24" t="b">
        <v>0</v>
      </c>
      <c r="N17" s="24" t="b">
        <v>0</v>
      </c>
      <c r="O17" s="24" t="b">
        <v>0</v>
      </c>
      <c r="P17" s="24" t="b">
        <v>0</v>
      </c>
      <c r="Q17" s="24" t="b">
        <v>0</v>
      </c>
      <c r="R17" s="24" t="b">
        <v>0</v>
      </c>
      <c r="S17" s="24" t="b">
        <v>0</v>
      </c>
      <c r="T17" s="24" t="b">
        <v>0</v>
      </c>
      <c r="U17" s="24" t="b">
        <v>0</v>
      </c>
      <c r="V17" s="24" t="b">
        <v>0</v>
      </c>
      <c r="W17" s="24" t="b">
        <v>0</v>
      </c>
      <c r="X17" s="24" t="b">
        <v>0</v>
      </c>
      <c r="Y17" s="24" t="b">
        <v>0</v>
      </c>
      <c r="Z17" s="24" t="b">
        <v>0</v>
      </c>
      <c r="AA17" s="24" t="b">
        <v>0</v>
      </c>
      <c r="AB17" s="24" t="b">
        <v>0</v>
      </c>
      <c r="AC17" s="24" t="b">
        <v>0</v>
      </c>
      <c r="AD17" s="24" t="b">
        <v>0</v>
      </c>
      <c r="AE17" s="24" t="b">
        <v>0</v>
      </c>
      <c r="AF17" s="24" t="b">
        <v>0</v>
      </c>
      <c r="AG17" s="24" t="b">
        <v>0</v>
      </c>
      <c r="AH17" s="24" t="b">
        <v>0</v>
      </c>
      <c r="AI17" s="24" t="b">
        <v>0</v>
      </c>
      <c r="AJ17" s="24" t="b">
        <v>0</v>
      </c>
      <c r="AK17" s="24" t="b">
        <v>0</v>
      </c>
      <c r="AL17" s="24" t="b">
        <v>0</v>
      </c>
      <c r="AM17" s="24" t="b">
        <v>0</v>
      </c>
      <c r="AN17" s="24" t="b">
        <v>0</v>
      </c>
      <c r="AO17" s="25">
        <f t="shared" si="5"/>
        <v>0</v>
      </c>
      <c r="AQ17" s="25">
        <f>IFERROR(__xludf.DUMMYFUNCTION("if(iserror(match(true,J17:AN17,0)),0,len(index(split(substitute(substitute(join("","",J17:AN17)&amp;"","",""TRUE,"",""x""),""FALSE,"","",""),"",""),,counta(split(substitute(substitute(join("","",J17:AN17)&amp;"","",""TRUE,"",""x""),""FALSE,"","",""),"","")))))"),0.0)</f>
        <v>0</v>
      </c>
      <c r="AR17" s="25" t="str">
        <f>IFERROR(__xludf.DUMMYFUNCTION("arrayformula( if( sum(J17:AN17 + 0), max( len( split( concatenate( left(J17:AN17) ), ""F"" ) ) ), ""0"" ) )"),"0")</f>
        <v>0</v>
      </c>
      <c r="AS17" s="26">
        <v>15.0</v>
      </c>
      <c r="AT17" s="27">
        <f t="shared" si="6"/>
        <v>0</v>
      </c>
    </row>
    <row r="18" hidden="1">
      <c r="I18" s="6"/>
      <c r="J18" s="24" t="b">
        <v>0</v>
      </c>
      <c r="K18" s="24" t="b">
        <v>0</v>
      </c>
      <c r="L18" s="24" t="b">
        <v>0</v>
      </c>
      <c r="M18" s="24" t="b">
        <v>0</v>
      </c>
      <c r="N18" s="24" t="b">
        <v>0</v>
      </c>
      <c r="O18" s="24" t="b">
        <v>0</v>
      </c>
      <c r="P18" s="24" t="b">
        <v>0</v>
      </c>
      <c r="Q18" s="24" t="b">
        <v>0</v>
      </c>
      <c r="R18" s="24" t="b">
        <v>0</v>
      </c>
      <c r="S18" s="24" t="b">
        <v>0</v>
      </c>
      <c r="T18" s="24" t="b">
        <v>0</v>
      </c>
      <c r="U18" s="24" t="b">
        <v>0</v>
      </c>
      <c r="V18" s="24" t="b">
        <v>0</v>
      </c>
      <c r="W18" s="24" t="b">
        <v>0</v>
      </c>
      <c r="X18" s="24" t="b">
        <v>0</v>
      </c>
      <c r="Y18" s="24" t="b">
        <v>0</v>
      </c>
      <c r="Z18" s="24" t="b">
        <v>0</v>
      </c>
      <c r="AA18" s="24" t="b">
        <v>0</v>
      </c>
      <c r="AB18" s="24" t="b">
        <v>0</v>
      </c>
      <c r="AC18" s="24" t="b">
        <v>0</v>
      </c>
      <c r="AD18" s="24" t="b">
        <v>0</v>
      </c>
      <c r="AE18" s="24" t="b">
        <v>0</v>
      </c>
      <c r="AF18" s="24" t="b">
        <v>0</v>
      </c>
      <c r="AG18" s="24" t="b">
        <v>0</v>
      </c>
      <c r="AH18" s="24" t="b">
        <v>0</v>
      </c>
      <c r="AI18" s="24" t="b">
        <v>0</v>
      </c>
      <c r="AJ18" s="24" t="b">
        <v>0</v>
      </c>
      <c r="AK18" s="24" t="b">
        <v>0</v>
      </c>
      <c r="AL18" s="24" t="b">
        <v>0</v>
      </c>
      <c r="AM18" s="24" t="b">
        <v>0</v>
      </c>
      <c r="AN18" s="24" t="b">
        <v>0</v>
      </c>
      <c r="AO18" s="25">
        <f t="shared" si="5"/>
        <v>0</v>
      </c>
      <c r="AQ18" s="25">
        <f>IFERROR(__xludf.DUMMYFUNCTION("if(iserror(match(true,J18:AN18,0)),0,len(index(split(substitute(substitute(join("","",J18:AN18)&amp;"","",""TRUE,"",""x""),""FALSE,"","",""),"",""),,counta(split(substitute(substitute(join("","",J18:AN18)&amp;"","",""TRUE,"",""x""),""FALSE,"","",""),"","")))))"),0.0)</f>
        <v>0</v>
      </c>
      <c r="AR18" s="25" t="str">
        <f>IFERROR(__xludf.DUMMYFUNCTION("arrayformula( if( sum(J18:AN18 + 0), max( len( split( concatenate( left(J18:AN18) ), ""F"" ) ) ), ""0"" ) )"),"0")</f>
        <v>0</v>
      </c>
      <c r="AS18" s="26">
        <v>15.0</v>
      </c>
      <c r="AT18" s="27">
        <f t="shared" si="6"/>
        <v>0</v>
      </c>
    </row>
    <row r="19" hidden="1">
      <c r="I19" s="6"/>
      <c r="J19" s="24" t="b">
        <v>0</v>
      </c>
      <c r="K19" s="24" t="b">
        <v>0</v>
      </c>
      <c r="L19" s="24" t="b">
        <v>0</v>
      </c>
      <c r="M19" s="24" t="b">
        <v>0</v>
      </c>
      <c r="N19" s="24" t="b">
        <v>0</v>
      </c>
      <c r="O19" s="24" t="b">
        <v>0</v>
      </c>
      <c r="P19" s="24" t="b">
        <v>0</v>
      </c>
      <c r="Q19" s="24" t="b">
        <v>0</v>
      </c>
      <c r="R19" s="24" t="b">
        <v>0</v>
      </c>
      <c r="S19" s="24" t="b">
        <v>0</v>
      </c>
      <c r="T19" s="24" t="b">
        <v>0</v>
      </c>
      <c r="U19" s="24" t="b">
        <v>0</v>
      </c>
      <c r="V19" s="24" t="b">
        <v>0</v>
      </c>
      <c r="W19" s="24" t="b">
        <v>0</v>
      </c>
      <c r="X19" s="24" t="b">
        <v>0</v>
      </c>
      <c r="Y19" s="24" t="b">
        <v>0</v>
      </c>
      <c r="Z19" s="24" t="b">
        <v>0</v>
      </c>
      <c r="AA19" s="24" t="b">
        <v>0</v>
      </c>
      <c r="AB19" s="24" t="b">
        <v>0</v>
      </c>
      <c r="AC19" s="24" t="b">
        <v>0</v>
      </c>
      <c r="AD19" s="24" t="b">
        <v>0</v>
      </c>
      <c r="AE19" s="24" t="b">
        <v>0</v>
      </c>
      <c r="AF19" s="24" t="b">
        <v>0</v>
      </c>
      <c r="AG19" s="24" t="b">
        <v>0</v>
      </c>
      <c r="AH19" s="24" t="b">
        <v>0</v>
      </c>
      <c r="AI19" s="24" t="b">
        <v>0</v>
      </c>
      <c r="AJ19" s="24" t="b">
        <v>0</v>
      </c>
      <c r="AK19" s="24" t="b">
        <v>0</v>
      </c>
      <c r="AL19" s="24" t="b">
        <v>0</v>
      </c>
      <c r="AM19" s="24" t="b">
        <v>0</v>
      </c>
      <c r="AN19" s="24" t="b">
        <v>0</v>
      </c>
      <c r="AO19" s="25">
        <f t="shared" si="5"/>
        <v>0</v>
      </c>
      <c r="AQ19" s="25">
        <f>IFERROR(__xludf.DUMMYFUNCTION("if(iserror(match(true,J19:AN19,0)),0,len(index(split(substitute(substitute(join("","",J19:AN19)&amp;"","",""TRUE,"",""x""),""FALSE,"","",""),"",""),,counta(split(substitute(substitute(join("","",J19:AN19)&amp;"","",""TRUE,"",""x""),""FALSE,"","",""),"","")))))"),0.0)</f>
        <v>0</v>
      </c>
      <c r="AR19" s="25" t="str">
        <f>IFERROR(__xludf.DUMMYFUNCTION("arrayformula( if( sum(J19:AN19 + 0), max( len( split( concatenate( left(J19:AN19) ), ""F"" ) ) ), ""0"" ) )"),"0")</f>
        <v>0</v>
      </c>
      <c r="AS19" s="26">
        <v>15.0</v>
      </c>
      <c r="AT19" s="27">
        <f t="shared" si="6"/>
        <v>0</v>
      </c>
    </row>
    <row r="20" hidden="1">
      <c r="I20" s="6"/>
      <c r="J20" s="24" t="b">
        <v>0</v>
      </c>
      <c r="K20" s="24" t="b">
        <v>0</v>
      </c>
      <c r="L20" s="24" t="b">
        <v>0</v>
      </c>
      <c r="M20" s="24" t="b">
        <v>0</v>
      </c>
      <c r="N20" s="24" t="b">
        <v>0</v>
      </c>
      <c r="O20" s="24" t="b">
        <v>0</v>
      </c>
      <c r="P20" s="24" t="b">
        <v>0</v>
      </c>
      <c r="Q20" s="24" t="b">
        <v>0</v>
      </c>
      <c r="R20" s="24" t="b">
        <v>0</v>
      </c>
      <c r="S20" s="24" t="b">
        <v>0</v>
      </c>
      <c r="T20" s="24" t="b">
        <v>0</v>
      </c>
      <c r="U20" s="24" t="b">
        <v>0</v>
      </c>
      <c r="V20" s="24" t="b">
        <v>0</v>
      </c>
      <c r="W20" s="24" t="b">
        <v>0</v>
      </c>
      <c r="X20" s="24" t="b">
        <v>0</v>
      </c>
      <c r="Y20" s="24" t="b">
        <v>0</v>
      </c>
      <c r="Z20" s="24" t="b">
        <v>0</v>
      </c>
      <c r="AA20" s="24" t="b">
        <v>0</v>
      </c>
      <c r="AB20" s="24" t="b">
        <v>0</v>
      </c>
      <c r="AC20" s="24" t="b">
        <v>0</v>
      </c>
      <c r="AD20" s="24" t="b">
        <v>0</v>
      </c>
      <c r="AE20" s="24" t="b">
        <v>0</v>
      </c>
      <c r="AF20" s="24" t="b">
        <v>0</v>
      </c>
      <c r="AG20" s="24" t="b">
        <v>0</v>
      </c>
      <c r="AH20" s="24" t="b">
        <v>0</v>
      </c>
      <c r="AI20" s="24" t="b">
        <v>0</v>
      </c>
      <c r="AJ20" s="24" t="b">
        <v>0</v>
      </c>
      <c r="AK20" s="24" t="b">
        <v>0</v>
      </c>
      <c r="AL20" s="24" t="b">
        <v>0</v>
      </c>
      <c r="AM20" s="24" t="b">
        <v>0</v>
      </c>
      <c r="AN20" s="24" t="b">
        <v>0</v>
      </c>
      <c r="AO20" s="25">
        <f t="shared" si="5"/>
        <v>0</v>
      </c>
      <c r="AQ20" s="25">
        <f>IFERROR(__xludf.DUMMYFUNCTION("if(iserror(match(true,J20:AN20,0)),0,len(index(split(substitute(substitute(join("","",J20:AN20)&amp;"","",""TRUE,"",""x""),""FALSE,"","",""),"",""),,counta(split(substitute(substitute(join("","",J20:AN20)&amp;"","",""TRUE,"",""x""),""FALSE,"","",""),"","")))))"),0.0)</f>
        <v>0</v>
      </c>
      <c r="AR20" s="25" t="str">
        <f>IFERROR(__xludf.DUMMYFUNCTION("arrayformula( if( sum(J20:AN20 + 0), max( len( split( concatenate( left(J20:AN20) ), ""F"" ) ) ), ""0"" ) )"),"0")</f>
        <v>0</v>
      </c>
      <c r="AS20" s="26">
        <v>15.0</v>
      </c>
      <c r="AT20" s="27">
        <f t="shared" si="6"/>
        <v>0</v>
      </c>
    </row>
    <row r="21" hidden="1">
      <c r="I21" s="6"/>
      <c r="J21" s="24" t="b">
        <v>0</v>
      </c>
      <c r="K21" s="24" t="b">
        <v>0</v>
      </c>
      <c r="L21" s="24" t="b">
        <v>0</v>
      </c>
      <c r="M21" s="24" t="b">
        <v>0</v>
      </c>
      <c r="N21" s="24" t="b">
        <v>0</v>
      </c>
      <c r="O21" s="24" t="b">
        <v>0</v>
      </c>
      <c r="P21" s="24" t="b">
        <v>0</v>
      </c>
      <c r="Q21" s="24" t="b">
        <v>0</v>
      </c>
      <c r="R21" s="24" t="b">
        <v>0</v>
      </c>
      <c r="S21" s="24" t="b">
        <v>0</v>
      </c>
      <c r="T21" s="24" t="b">
        <v>0</v>
      </c>
      <c r="U21" s="24" t="b">
        <v>0</v>
      </c>
      <c r="V21" s="24" t="b">
        <v>0</v>
      </c>
      <c r="W21" s="24" t="b">
        <v>0</v>
      </c>
      <c r="X21" s="24" t="b">
        <v>0</v>
      </c>
      <c r="Y21" s="24" t="b">
        <v>0</v>
      </c>
      <c r="Z21" s="24" t="b">
        <v>0</v>
      </c>
      <c r="AA21" s="24" t="b">
        <v>0</v>
      </c>
      <c r="AB21" s="24" t="b">
        <v>0</v>
      </c>
      <c r="AC21" s="24" t="b">
        <v>0</v>
      </c>
      <c r="AD21" s="24" t="b">
        <v>0</v>
      </c>
      <c r="AE21" s="24" t="b">
        <v>0</v>
      </c>
      <c r="AF21" s="24" t="b">
        <v>0</v>
      </c>
      <c r="AG21" s="24" t="b">
        <v>0</v>
      </c>
      <c r="AH21" s="24" t="b">
        <v>0</v>
      </c>
      <c r="AI21" s="24" t="b">
        <v>0</v>
      </c>
      <c r="AJ21" s="24" t="b">
        <v>0</v>
      </c>
      <c r="AK21" s="24" t="b">
        <v>0</v>
      </c>
      <c r="AL21" s="24" t="b">
        <v>0</v>
      </c>
      <c r="AM21" s="24" t="b">
        <v>0</v>
      </c>
      <c r="AN21" s="24" t="b">
        <v>0</v>
      </c>
      <c r="AO21" s="25">
        <f t="shared" si="5"/>
        <v>0</v>
      </c>
      <c r="AQ21" s="25">
        <f>IFERROR(__xludf.DUMMYFUNCTION("if(iserror(match(true,J21:AN21,0)),0,len(index(split(substitute(substitute(join("","",J21:AN21)&amp;"","",""TRUE,"",""x""),""FALSE,"","",""),"",""),,counta(split(substitute(substitute(join("","",J21:AN21)&amp;"","",""TRUE,"",""x""),""FALSE,"","",""),"","")))))"),0.0)</f>
        <v>0</v>
      </c>
      <c r="AR21" s="25" t="str">
        <f>IFERROR(__xludf.DUMMYFUNCTION("arrayformula( if( sum(J21:AN21 + 0), max( len( split( concatenate( left(J21:AN21) ), ""F"" ) ) ), ""0"" ) )"),"0")</f>
        <v>0</v>
      </c>
      <c r="AS21" s="26">
        <v>15.0</v>
      </c>
      <c r="AT21" s="27">
        <f t="shared" si="6"/>
        <v>0</v>
      </c>
    </row>
    <row r="22" hidden="1">
      <c r="I22" s="6"/>
      <c r="J22" s="24" t="b">
        <v>0</v>
      </c>
      <c r="K22" s="24" t="b">
        <v>0</v>
      </c>
      <c r="L22" s="24" t="b">
        <v>0</v>
      </c>
      <c r="M22" s="24" t="b">
        <v>0</v>
      </c>
      <c r="N22" s="24" t="b">
        <v>0</v>
      </c>
      <c r="O22" s="24" t="b">
        <v>0</v>
      </c>
      <c r="P22" s="24" t="b">
        <v>0</v>
      </c>
      <c r="Q22" s="24" t="b">
        <v>0</v>
      </c>
      <c r="R22" s="24" t="b">
        <v>0</v>
      </c>
      <c r="S22" s="24" t="b">
        <v>0</v>
      </c>
      <c r="T22" s="24" t="b">
        <v>0</v>
      </c>
      <c r="U22" s="24" t="b">
        <v>0</v>
      </c>
      <c r="V22" s="24" t="b">
        <v>0</v>
      </c>
      <c r="W22" s="24" t="b">
        <v>0</v>
      </c>
      <c r="X22" s="24" t="b">
        <v>0</v>
      </c>
      <c r="Y22" s="24" t="b">
        <v>0</v>
      </c>
      <c r="Z22" s="24" t="b">
        <v>0</v>
      </c>
      <c r="AA22" s="24" t="b">
        <v>0</v>
      </c>
      <c r="AB22" s="24" t="b">
        <v>0</v>
      </c>
      <c r="AC22" s="24" t="b">
        <v>0</v>
      </c>
      <c r="AD22" s="24" t="b">
        <v>0</v>
      </c>
      <c r="AE22" s="24" t="b">
        <v>0</v>
      </c>
      <c r="AF22" s="24" t="b">
        <v>0</v>
      </c>
      <c r="AG22" s="24" t="b">
        <v>0</v>
      </c>
      <c r="AH22" s="24" t="b">
        <v>0</v>
      </c>
      <c r="AI22" s="24" t="b">
        <v>0</v>
      </c>
      <c r="AJ22" s="24" t="b">
        <v>0</v>
      </c>
      <c r="AK22" s="24" t="b">
        <v>0</v>
      </c>
      <c r="AL22" s="24" t="b">
        <v>0</v>
      </c>
      <c r="AM22" s="24" t="b">
        <v>0</v>
      </c>
      <c r="AN22" s="24" t="b">
        <v>0</v>
      </c>
      <c r="AO22" s="25">
        <f t="shared" si="5"/>
        <v>0</v>
      </c>
      <c r="AQ22" s="25">
        <f>IFERROR(__xludf.DUMMYFUNCTION("if(iserror(match(true,J22:AN22,0)),0,len(index(split(substitute(substitute(join("","",J22:AN22)&amp;"","",""TRUE,"",""x""),""FALSE,"","",""),"",""),,counta(split(substitute(substitute(join("","",J22:AN22)&amp;"","",""TRUE,"",""x""),""FALSE,"","",""),"","")))))"),0.0)</f>
        <v>0</v>
      </c>
      <c r="AR22" s="25" t="str">
        <f>IFERROR(__xludf.DUMMYFUNCTION("arrayformula( if( sum(J22:AN22 + 0), max( len( split( concatenate( left(J22:AN22) ), ""F"" ) ) ), ""0"" ) )"),"0")</f>
        <v>0</v>
      </c>
      <c r="AS22" s="26">
        <v>15.0</v>
      </c>
      <c r="AT22" s="27">
        <f t="shared" si="6"/>
        <v>0</v>
      </c>
    </row>
    <row r="23">
      <c r="I23" s="32"/>
      <c r="J23" s="24" t="str">
        <f t="array" ref="J23">IF(COUNTIF(J3:J22, "TRUE") = 1, Setup!$E$4, 
IF(COUNTIF(J3:J22, "TRUE") = 0, Setup!$E$3,
IF(COUNTIF(J3:J22, "TRUE") = 2, Setup!$E$5, 
IF(COUNTIF(J3:J22, "TRUE") = 3, Setup!$E$6, 
IF(COUNTIF(J3:J22, "TRUE") = 4, Setup!$E$7, 
IF(COUNTIF(J3:J22, "TRUE") = 5, Setup!$E$8, 
IF(COUNTIF(J3:J22, "TRUE") &gt;= 6, Setup!$E$9)))
))))</f>
        <v/>
      </c>
      <c r="K23" s="24" t="str">
        <f t="array" ref="K23">IF(COUNTIF(K3:K22, "TRUE") = 1, Setup!$E$4, 
IF(COUNTIF(K3:K22, "TRUE") = 0, Setup!$E$3,
IF(COUNTIF(K3:K22, "TRUE") = 2, Setup!$E$5, 
IF(COUNTIF(K3:K22, "TRUE") = 3, Setup!$E$6, 
IF(COUNTIF(K3:K22, "TRUE") = 4, Setup!$E$7, 
IF(COUNTIF(K3:K22, "TRUE") = 5, Setup!$E$8, 
IF(COUNTIF(K3:K22, "TRUE") &gt;= 6, Setup!$E$9)))
))))</f>
        <v/>
      </c>
      <c r="L23" s="24" t="str">
        <f t="array" ref="L23">IF(COUNTIF(L3:L22, "TRUE") = 1, Setup!$E$4, 
IF(COUNTIF(L3:L22, "TRUE") = 0, Setup!$E$3,
IF(COUNTIF(L3:L22, "TRUE") = 2, Setup!$E$5, 
IF(COUNTIF(L3:L22, "TRUE") = 3, Setup!$E$6, 
IF(COUNTIF(L3:L22, "TRUE") = 4, Setup!$E$7, 
IF(COUNTIF(L3:L22, "TRUE") = 5, Setup!$E$8, 
IF(COUNTIF(L3:L22, "TRUE") &gt;= 6, Setup!$E$9)))
))))</f>
        <v/>
      </c>
      <c r="M23" s="24" t="str">
        <f t="array" ref="M23">IF(COUNTIF(M3:M22, "TRUE") = 1, Setup!$E$4, 
IF(COUNTIF(M3:M22, "TRUE") = 0, Setup!$E$3,
IF(COUNTIF(M3:M22, "TRUE") = 2, Setup!$E$5, 
IF(COUNTIF(M3:M22, "TRUE") = 3, Setup!$E$6, 
IF(COUNTIF(M3:M22, "TRUE") = 4, Setup!$E$7, 
IF(COUNTIF(M3:M22, "TRUE") = 5, Setup!$E$8, 
IF(COUNTIF(M3:M22, "TRUE") &gt;= 6, Setup!$E$9)))
))))</f>
        <v/>
      </c>
      <c r="N23" s="24" t="str">
        <f t="array" ref="N23">IF(COUNTIF(N3:N22, "TRUE") = 1, Setup!$E$4, 
IF(COUNTIF(N3:N22, "TRUE") = 0, Setup!$E$3,
IF(COUNTIF(N3:N22, "TRUE") = 2, Setup!$E$5, 
IF(COUNTIF(N3:N22, "TRUE") = 3, Setup!$E$6, 
IF(COUNTIF(N3:N22, "TRUE") = 4, Setup!$E$7, 
IF(COUNTIF(N3:N22, "TRUE") = 5, Setup!$E$8, 
IF(COUNTIF(N3:N22, "TRUE") &gt;= 6, Setup!$E$9)))
))))</f>
        <v/>
      </c>
      <c r="O23" s="24" t="str">
        <f t="array" ref="O23">IF(COUNTIF(O3:O22, "TRUE") = 1, Setup!$E$4, 
IF(COUNTIF(O3:O22, "TRUE") = 0, Setup!$E$3,
IF(COUNTIF(O3:O22, "TRUE") = 2, Setup!$E$5, 
IF(COUNTIF(O3:O22, "TRUE") = 3, Setup!$E$6, 
IF(COUNTIF(O3:O22, "TRUE") = 4, Setup!$E$7, 
IF(COUNTIF(O3:O22, "TRUE") = 5, Setup!$E$8, 
IF(COUNTIF(O3:O22, "TRUE") &gt;= 6, Setup!$E$9)))
))))</f>
        <v/>
      </c>
      <c r="P23" s="24" t="str">
        <f t="array" ref="P23">IF(COUNTIF(P3:P22, "TRUE") = 1, Setup!$E$4, 
IF(COUNTIF(P3:P22, "TRUE") = 0, Setup!$E$3,
IF(COUNTIF(P3:P22, "TRUE") = 2, Setup!$E$5, 
IF(COUNTIF(P3:P22, "TRUE") = 3, Setup!$E$6, 
IF(COUNTIF(P3:P22, "TRUE") = 4, Setup!$E$7, 
IF(COUNTIF(P3:P22, "TRUE") = 5, Setup!$E$8, 
IF(COUNTIF(P3:P22, "TRUE") &gt;= 6, Setup!$E$9)))
))))</f>
        <v/>
      </c>
      <c r="Q23" s="24" t="str">
        <f t="array" ref="Q23">IF(COUNTIF(Q3:Q22, "TRUE") = 1, Setup!$E$4, 
IF(COUNTIF(Q3:Q22, "TRUE") = 0, Setup!$E$3,
IF(COUNTIF(Q3:Q22, "TRUE") = 2, Setup!$E$5, 
IF(COUNTIF(Q3:Q22, "TRUE") = 3, Setup!$E$6, 
IF(COUNTIF(Q3:Q22, "TRUE") = 4, Setup!$E$7, 
IF(COUNTIF(Q3:Q22, "TRUE") = 5, Setup!$E$8, 
IF(COUNTIF(Q3:Q22, "TRUE") &gt;= 6, Setup!$E$9)))
))))</f>
        <v/>
      </c>
      <c r="R23" s="24" t="str">
        <f t="array" ref="R23">IF(COUNTIF(R3:R22, "TRUE") = 1, Setup!$E$4, 
IF(COUNTIF(R3:R22, "TRUE") = 0, Setup!$E$3,
IF(COUNTIF(R3:R22, "TRUE") = 2, Setup!$E$5, 
IF(COUNTIF(R3:R22, "TRUE") = 3, Setup!$E$6, 
IF(COUNTIF(R3:R22, "TRUE") = 4, Setup!$E$7, 
IF(COUNTIF(R3:R22, "TRUE") = 5, Setup!$E$8, 
IF(COUNTIF(R3:R22, "TRUE") &gt;= 6, Setup!$E$9)))
))))</f>
        <v/>
      </c>
      <c r="S23" s="24" t="str">
        <f t="array" ref="S23">IF(COUNTIF(S3:S22, "TRUE") = 1, Setup!$E$4, 
IF(COUNTIF(S3:S22, "TRUE") = 0, Setup!$E$3,
IF(COUNTIF(S3:S22, "TRUE") = 2, Setup!$E$5, 
IF(COUNTIF(S3:S22, "TRUE") = 3, Setup!$E$6, 
IF(COUNTIF(S3:S22, "TRUE") = 4, Setup!$E$7, 
IF(COUNTIF(S3:S22, "TRUE") = 5, Setup!$E$8, 
IF(COUNTIF(S3:S22, "TRUE") &gt;= 6, Setup!$E$9)))
))))</f>
        <v/>
      </c>
      <c r="T23" s="24" t="str">
        <f t="array" ref="T23">IF(COUNTIF(T3:T22, "TRUE") = 1, Setup!$E$4, 
IF(COUNTIF(T3:T22, "TRUE") = 0, Setup!$E$3,
IF(COUNTIF(T3:T22, "TRUE") = 2, Setup!$E$5, 
IF(COUNTIF(T3:T22, "TRUE") = 3, Setup!$E$6, 
IF(COUNTIF(T3:T22, "TRUE") = 4, Setup!$E$7, 
IF(COUNTIF(T3:T22, "TRUE") = 5, Setup!$E$8, 
IF(COUNTIF(T3:T22, "TRUE") &gt;= 6, Setup!$E$9)))
))))</f>
        <v/>
      </c>
      <c r="U23" s="24" t="str">
        <f t="array" ref="U23">IF(COUNTIF(U3:U22, "TRUE") = 1, Setup!$E$4, 
IF(COUNTIF(U3:U22, "TRUE") = 0, Setup!$E$3,
IF(COUNTIF(U3:U22, "TRUE") = 2, Setup!$E$5, 
IF(COUNTIF(U3:U22, "TRUE") = 3, Setup!$E$6, 
IF(COUNTIF(U3:U22, "TRUE") = 4, Setup!$E$7, 
IF(COUNTIF(U3:U22, "TRUE") = 5, Setup!$E$8, 
IF(COUNTIF(U3:U22, "TRUE") &gt;= 6, Setup!$E$9)))
))))</f>
        <v>😶</v>
      </c>
      <c r="V23" s="24" t="str">
        <f t="array" ref="V23">IF(COUNTIF(V3:V22, "TRUE") = 1, Setup!$E$4, 
IF(COUNTIF(V3:V22, "TRUE") = 0, Setup!$E$3,
IF(COUNTIF(V3:V22, "TRUE") = 2, Setup!$E$5, 
IF(COUNTIF(V3:V22, "TRUE") = 3, Setup!$E$6, 
IF(COUNTIF(V3:V22, "TRUE") = 4, Setup!$E$7, 
IF(COUNTIF(V3:V22, "TRUE") = 5, Setup!$E$8, 
IF(COUNTIF(V3:V22, "TRUE") &gt;= 6, Setup!$E$9)))
))))</f>
        <v/>
      </c>
      <c r="W23" s="24" t="str">
        <f t="array" ref="W23">IF(COUNTIF(W3:W22, "TRUE") = 1, Setup!$E$4, 
IF(COUNTIF(W3:W22, "TRUE") = 0, Setup!$E$3,
IF(COUNTIF(W3:W22, "TRUE") = 2, Setup!$E$5, 
IF(COUNTIF(W3:W22, "TRUE") = 3, Setup!$E$6, 
IF(COUNTIF(W3:W22, "TRUE") = 4, Setup!$E$7, 
IF(COUNTIF(W3:W22, "TRUE") = 5, Setup!$E$8, 
IF(COUNTIF(W3:W22, "TRUE") &gt;= 6, Setup!$E$9)))
))))</f>
        <v/>
      </c>
      <c r="X23" s="24" t="str">
        <f t="array" ref="X23">IF(COUNTIF(X3:X22, "TRUE") = 1, Setup!$E$4, 
IF(COUNTIF(X3:X22, "TRUE") = 0, Setup!$E$3,
IF(COUNTIF(X3:X22, "TRUE") = 2, Setup!$E$5, 
IF(COUNTIF(X3:X22, "TRUE") = 3, Setup!$E$6, 
IF(COUNTIF(X3:X22, "TRUE") = 4, Setup!$E$7, 
IF(COUNTIF(X3:X22, "TRUE") = 5, Setup!$E$8, 
IF(COUNTIF(X3:X22, "TRUE") &gt;= 6, Setup!$E$9)))
))))</f>
        <v/>
      </c>
      <c r="Y23" s="24" t="str">
        <f t="array" ref="Y23">IF(COUNTIF(Y3:Y22, "TRUE") = 1, Setup!$E$4, 
IF(COUNTIF(Y3:Y22, "TRUE") = 0, Setup!$E$3,
IF(COUNTIF(Y3:Y22, "TRUE") = 2, Setup!$E$5, 
IF(COUNTIF(Y3:Y22, "TRUE") = 3, Setup!$E$6, 
IF(COUNTIF(Y3:Y22, "TRUE") = 4, Setup!$E$7, 
IF(COUNTIF(Y3:Y22, "TRUE") = 5, Setup!$E$8, 
IF(COUNTIF(Y3:Y22, "TRUE") &gt;= 6, Setup!$E$9)))
))))</f>
        <v/>
      </c>
      <c r="Z23" s="24" t="str">
        <f t="array" ref="Z23">IF(COUNTIF(Z3:Z22, "TRUE") = 1, Setup!$E$4, 
IF(COUNTIF(Z3:Z22, "TRUE") = 0, Setup!$E$3,
IF(COUNTIF(Z3:Z22, "TRUE") = 2, Setup!$E$5, 
IF(COUNTIF(Z3:Z22, "TRUE") = 3, Setup!$E$6, 
IF(COUNTIF(Z3:Z22, "TRUE") = 4, Setup!$E$7, 
IF(COUNTIF(Z3:Z22, "TRUE") = 5, Setup!$E$8, 
IF(COUNTIF(Z3:Z22, "TRUE") &gt;= 6, Setup!$E$9)))
))))</f>
        <v/>
      </c>
      <c r="AA23" s="24" t="str">
        <f t="array" ref="AA23">IF(COUNTIF(AA3:AA22, "TRUE") = 1, Setup!$E$4, 
IF(COUNTIF(AA3:AA22, "TRUE") = 0, Setup!$E$3,
IF(COUNTIF(AA3:AA22, "TRUE") = 2, Setup!$E$5, 
IF(COUNTIF(AA3:AA22, "TRUE") = 3, Setup!$E$6, 
IF(COUNTIF(AA3:AA22, "TRUE") = 4, Setup!$E$7, 
IF(COUNTIF(AA3:AA22, "TRUE") = 5, Setup!$E$8, 
IF(COUNTIF(AA3:AA22, "TRUE") &gt;= 6, Setup!$E$9)))
))))</f>
        <v/>
      </c>
      <c r="AB23" s="24" t="str">
        <f t="array" ref="AB23">IF(COUNTIF(AB3:AB22, "TRUE") = 1, Setup!$E$4, 
IF(COUNTIF(AB3:AB22, "TRUE") = 0, Setup!$E$3,
IF(COUNTIF(AB3:AB22, "TRUE") = 2, Setup!$E$5, 
IF(COUNTIF(AB3:AB22, "TRUE") = 3, Setup!$E$6, 
IF(COUNTIF(AB3:AB22, "TRUE") = 4, Setup!$E$7, 
IF(COUNTIF(AB3:AB22, "TRUE") = 5, Setup!$E$8, 
IF(COUNTIF(AB3:AB22, "TRUE") &gt;= 6, Setup!$E$9)))
))))</f>
        <v/>
      </c>
      <c r="AC23" s="24" t="str">
        <f t="array" ref="AC23">IF(COUNTIF(AC3:AC22, "TRUE") = 1, Setup!$E$4, 
IF(COUNTIF(AC3:AC22, "TRUE") = 0, Setup!$E$3,
IF(COUNTIF(AC3:AC22, "TRUE") = 2, Setup!$E$5, 
IF(COUNTIF(AC3:AC22, "TRUE") = 3, Setup!$E$6, 
IF(COUNTIF(AC3:AC22, "TRUE") = 4, Setup!$E$7, 
IF(COUNTIF(AC3:AC22, "TRUE") = 5, Setup!$E$8, 
IF(COUNTIF(AC3:AC22, "TRUE") &gt;= 6, Setup!$E$9)))
))))</f>
        <v/>
      </c>
      <c r="AD23" s="24" t="str">
        <f t="array" ref="AD23">IF(COUNTIF(AD3:AD22, "TRUE") = 1, Setup!$E$4, 
IF(COUNTIF(AD3:AD22, "TRUE") = 0, Setup!$E$3,
IF(COUNTIF(AD3:AD22, "TRUE") = 2, Setup!$E$5, 
IF(COUNTIF(AD3:AD22, "TRUE") = 3, Setup!$E$6, 
IF(COUNTIF(AD3:AD22, "TRUE") = 4, Setup!$E$7, 
IF(COUNTIF(AD3:AD22, "TRUE") = 5, Setup!$E$8, 
IF(COUNTIF(AD3:AD22, "TRUE") &gt;= 6, Setup!$E$9)))
))))</f>
        <v/>
      </c>
      <c r="AE23" s="24" t="str">
        <f t="array" ref="AE23">IF(COUNTIF(AE3:AE22, "TRUE") = 1, Setup!$E$4, 
IF(COUNTIF(AE3:AE22, "TRUE") = 0, Setup!$E$3,
IF(COUNTIF(AE3:AE22, "TRUE") = 2, Setup!$E$5, 
IF(COUNTIF(AE3:AE22, "TRUE") = 3, Setup!$E$6, 
IF(COUNTIF(AE3:AE22, "TRUE") = 4, Setup!$E$7, 
IF(COUNTIF(AE3:AE22, "TRUE") = 5, Setup!$E$8, 
IF(COUNTIF(AE3:AE22, "TRUE") &gt;= 6, Setup!$E$9)))
))))</f>
        <v/>
      </c>
      <c r="AF23" s="24" t="str">
        <f t="array" ref="AF23">IF(COUNTIF(AF3:AF22, "TRUE") = 1, Setup!$E$4, 
IF(COUNTIF(AF3:AF22, "TRUE") = 0, Setup!$E$3,
IF(COUNTIF(AF3:AF22, "TRUE") = 2, Setup!$E$5, 
IF(COUNTIF(AF3:AF22, "TRUE") = 3, Setup!$E$6, 
IF(COUNTIF(AF3:AF22, "TRUE") = 4, Setup!$E$7, 
IF(COUNTIF(AF3:AF22, "TRUE") = 5, Setup!$E$8, 
IF(COUNTIF(AF3:AF22, "TRUE") &gt;= 6, Setup!$E$9)))
))))</f>
        <v/>
      </c>
      <c r="AG23" s="24" t="str">
        <f t="array" ref="AG23">IF(COUNTIF(AG3:AG22, "TRUE") = 1, Setup!$E$4, 
IF(COUNTIF(AG3:AG22, "TRUE") = 0, Setup!$E$3,
IF(COUNTIF(AG3:AG22, "TRUE") = 2, Setup!$E$5, 
IF(COUNTIF(AG3:AG22, "TRUE") = 3, Setup!$E$6, 
IF(COUNTIF(AG3:AG22, "TRUE") = 4, Setup!$E$7, 
IF(COUNTIF(AG3:AG22, "TRUE") = 5, Setup!$E$8, 
IF(COUNTIF(AG3:AG22, "TRUE") &gt;= 6, Setup!$E$9)))
))))</f>
        <v/>
      </c>
      <c r="AH23" s="24" t="str">
        <f t="array" ref="AH23">IF(COUNTIF(AH3:AH22, "TRUE") = 1, Setup!$E$4, 
IF(COUNTIF(AH3:AH22, "TRUE") = 0, Setup!$E$3,
IF(COUNTIF(AH3:AH22, "TRUE") = 2, Setup!$E$5, 
IF(COUNTIF(AH3:AH22, "TRUE") = 3, Setup!$E$6, 
IF(COUNTIF(AH3:AH22, "TRUE") = 4, Setup!$E$7, 
IF(COUNTIF(AH3:AH22, "TRUE") = 5, Setup!$E$8, 
IF(COUNTIF(AH3:AH22, "TRUE") &gt;= 6, Setup!$E$9)))
))))</f>
        <v/>
      </c>
      <c r="AI23" s="24" t="str">
        <f t="array" ref="AI23">IF(COUNTIF(AI3:AI22, "TRUE") = 1, Setup!$E$4, 
IF(COUNTIF(AI3:AI22, "TRUE") = 0, Setup!$E$3,
IF(COUNTIF(AI3:AI22, "TRUE") = 2, Setup!$E$5, 
IF(COUNTIF(AI3:AI22, "TRUE") = 3, Setup!$E$6, 
IF(COUNTIF(AI3:AI22, "TRUE") = 4, Setup!$E$7, 
IF(COUNTIF(AI3:AI22, "TRUE") = 5, Setup!$E$8, 
IF(COUNTIF(AI3:AI22, "TRUE") &gt;= 6, Setup!$E$9)))
))))</f>
        <v/>
      </c>
      <c r="AJ23" s="24" t="str">
        <f t="array" ref="AJ23">IF(COUNTIF(AJ3:AJ22, "TRUE") = 1, Setup!$E$4, 
IF(COUNTIF(AJ3:AJ22, "TRUE") = 0, Setup!$E$3,
IF(COUNTIF(AJ3:AJ22, "TRUE") = 2, Setup!$E$5, 
IF(COUNTIF(AJ3:AJ22, "TRUE") = 3, Setup!$E$6, 
IF(COUNTIF(AJ3:AJ22, "TRUE") = 4, Setup!$E$7, 
IF(COUNTIF(AJ3:AJ22, "TRUE") = 5, Setup!$E$8, 
IF(COUNTIF(AJ3:AJ22, "TRUE") &gt;= 6, Setup!$E$9)))
))))</f>
        <v/>
      </c>
      <c r="AK23" s="24" t="str">
        <f t="array" ref="AK23">IF(COUNTIF(AK3:AK22, "TRUE") = 1, Setup!$E$4, 
IF(COUNTIF(AK3:AK22, "TRUE") = 0, Setup!$E$3,
IF(COUNTIF(AK3:AK22, "TRUE") = 2, Setup!$E$5, 
IF(COUNTIF(AK3:AK22, "TRUE") = 3, Setup!$E$6, 
IF(COUNTIF(AK3:AK22, "TRUE") = 4, Setup!$E$7, 
IF(COUNTIF(AK3:AK22, "TRUE") = 5, Setup!$E$8, 
IF(COUNTIF(AK3:AK22, "TRUE") &gt;= 6, Setup!$E$9)))
))))</f>
        <v/>
      </c>
      <c r="AL23" s="24" t="str">
        <f t="array" ref="AL23">IF(COUNTIF(AL3:AL22, "TRUE") = 1, Setup!$E$4, 
IF(COUNTIF(AL3:AL22, "TRUE") = 0, Setup!$E$3,
IF(COUNTIF(AL3:AL22, "TRUE") = 2, Setup!$E$5, 
IF(COUNTIF(AL3:AL22, "TRUE") = 3, Setup!$E$6, 
IF(COUNTIF(AL3:AL22, "TRUE") = 4, Setup!$E$7, 
IF(COUNTIF(AL3:AL22, "TRUE") = 5, Setup!$E$8, 
IF(COUNTIF(AL3:AL22, "TRUE") &gt;= 6, Setup!$E$9)))
))))</f>
        <v/>
      </c>
      <c r="AM23" s="24" t="str">
        <f t="array" ref="AM23">IF(COUNTIF(AM3:AM22, "TRUE") = 1, Setup!$E$4, 
IF(COUNTIF(AM3:AM22, "TRUE") = 0, Setup!$E$3,
IF(COUNTIF(AM3:AM22, "TRUE") = 2, Setup!$E$5, 
IF(COUNTIF(AM3:AM22, "TRUE") = 3, Setup!$E$6, 
IF(COUNTIF(AM3:AM22, "TRUE") = 4, Setup!$E$7, 
IF(COUNTIF(AM3:AM22, "TRUE") = 5, Setup!$E$8, 
IF(COUNTIF(AM3:AM22, "TRUE") &gt;= 6, Setup!$E$9)))
))))</f>
        <v/>
      </c>
      <c r="AN23" s="24" t="str">
        <f t="array" ref="AN23">IF(COUNTIF(AN3:AN22, "TRUE") = 1, Setup!$E$4, 
IF(COUNTIF(AN3:AN22, "TRUE") = 0, Setup!$E$3,
IF(COUNTIF(AN3:AN22, "TRUE") = 2, Setup!$E$5, 
IF(COUNTIF(AN3:AN22, "TRUE") = 3, Setup!$E$6, 
IF(COUNTIF(AN3:AN22, "TRUE") = 4, Setup!$E$7, 
IF(COUNTIF(AN3:AN22, "TRUE") = 5, Setup!$E$8, 
IF(COUNTIF(AN3:AN22, "TRUE") &gt;= 6, Setup!$E$9)))
))))</f>
        <v/>
      </c>
      <c r="AO23" s="24"/>
      <c r="AP23" s="24"/>
      <c r="AQ23" s="24"/>
      <c r="AR23" s="24"/>
      <c r="AS23" s="24"/>
      <c r="AT23" s="24"/>
    </row>
    <row r="24">
      <c r="A24" s="13" t="s">
        <v>35</v>
      </c>
      <c r="B24" s="13" t="s">
        <v>36</v>
      </c>
      <c r="I24" s="15" t="s">
        <v>37</v>
      </c>
      <c r="J24" s="16">
        <f t="array" ref="J24">DATE($D$1, MATCH(I24, {"January","February","March","April","May","June","July","August","September","October","November","December"}, 0), 1)</f>
        <v>46054</v>
      </c>
      <c r="K24" s="16">
        <f t="shared" ref="K24:AL24" si="14">J24+1</f>
        <v>46055</v>
      </c>
      <c r="L24" s="16">
        <f t="shared" si="14"/>
        <v>46056</v>
      </c>
      <c r="M24" s="16">
        <f t="shared" si="14"/>
        <v>46057</v>
      </c>
      <c r="N24" s="16">
        <f t="shared" si="14"/>
        <v>46058</v>
      </c>
      <c r="O24" s="16">
        <f t="shared" si="14"/>
        <v>46059</v>
      </c>
      <c r="P24" s="16">
        <f t="shared" si="14"/>
        <v>46060</v>
      </c>
      <c r="Q24" s="16">
        <f t="shared" si="14"/>
        <v>46061</v>
      </c>
      <c r="R24" s="16">
        <f t="shared" si="14"/>
        <v>46062</v>
      </c>
      <c r="S24" s="16">
        <f t="shared" si="14"/>
        <v>46063</v>
      </c>
      <c r="T24" s="16">
        <f t="shared" si="14"/>
        <v>46064</v>
      </c>
      <c r="U24" s="16">
        <f t="shared" si="14"/>
        <v>46065</v>
      </c>
      <c r="V24" s="16">
        <f t="shared" si="14"/>
        <v>46066</v>
      </c>
      <c r="W24" s="16">
        <f t="shared" si="14"/>
        <v>46067</v>
      </c>
      <c r="X24" s="16">
        <f t="shared" si="14"/>
        <v>46068</v>
      </c>
      <c r="Y24" s="16">
        <f t="shared" si="14"/>
        <v>46069</v>
      </c>
      <c r="Z24" s="16">
        <f t="shared" si="14"/>
        <v>46070</v>
      </c>
      <c r="AA24" s="16">
        <f t="shared" si="14"/>
        <v>46071</v>
      </c>
      <c r="AB24" s="16">
        <f t="shared" si="14"/>
        <v>46072</v>
      </c>
      <c r="AC24" s="16">
        <f t="shared" si="14"/>
        <v>46073</v>
      </c>
      <c r="AD24" s="16">
        <f t="shared" si="14"/>
        <v>46074</v>
      </c>
      <c r="AE24" s="16">
        <f t="shared" si="14"/>
        <v>46075</v>
      </c>
      <c r="AF24" s="16">
        <f t="shared" si="14"/>
        <v>46076</v>
      </c>
      <c r="AG24" s="16">
        <f t="shared" si="14"/>
        <v>46077</v>
      </c>
      <c r="AH24" s="16">
        <f t="shared" si="14"/>
        <v>46078</v>
      </c>
      <c r="AI24" s="16">
        <f t="shared" si="14"/>
        <v>46079</v>
      </c>
      <c r="AJ24" s="16">
        <f t="shared" si="14"/>
        <v>46080</v>
      </c>
      <c r="AK24" s="16">
        <f t="shared" si="14"/>
        <v>46081</v>
      </c>
      <c r="AL24" s="16">
        <f t="shared" si="14"/>
        <v>46082</v>
      </c>
      <c r="AM24" s="16"/>
      <c r="AN24" s="33"/>
      <c r="AO24" s="17" t="s">
        <v>28</v>
      </c>
      <c r="AQ24" s="18" t="s">
        <v>29</v>
      </c>
      <c r="AR24" s="18" t="s">
        <v>30</v>
      </c>
      <c r="AS24" s="18" t="s">
        <v>31</v>
      </c>
      <c r="AT24" s="18" t="s">
        <v>32</v>
      </c>
    </row>
    <row r="25" ht="15.0" customHeight="1">
      <c r="A25" s="34"/>
      <c r="B25" s="34"/>
      <c r="I25" s="35"/>
      <c r="J25" s="36">
        <f t="shared" ref="J25:AL25" si="15">J24</f>
        <v>46054</v>
      </c>
      <c r="K25" s="36">
        <f t="shared" si="15"/>
        <v>46055</v>
      </c>
      <c r="L25" s="36">
        <f t="shared" si="15"/>
        <v>46056</v>
      </c>
      <c r="M25" s="36">
        <f t="shared" si="15"/>
        <v>46057</v>
      </c>
      <c r="N25" s="36">
        <f t="shared" si="15"/>
        <v>46058</v>
      </c>
      <c r="O25" s="36">
        <f t="shared" si="15"/>
        <v>46059</v>
      </c>
      <c r="P25" s="36">
        <f t="shared" si="15"/>
        <v>46060</v>
      </c>
      <c r="Q25" s="36">
        <f t="shared" si="15"/>
        <v>46061</v>
      </c>
      <c r="R25" s="36">
        <f t="shared" si="15"/>
        <v>46062</v>
      </c>
      <c r="S25" s="36">
        <f t="shared" si="15"/>
        <v>46063</v>
      </c>
      <c r="T25" s="36">
        <f t="shared" si="15"/>
        <v>46064</v>
      </c>
      <c r="U25" s="36">
        <f t="shared" si="15"/>
        <v>46065</v>
      </c>
      <c r="V25" s="36">
        <f t="shared" si="15"/>
        <v>46066</v>
      </c>
      <c r="W25" s="36">
        <f t="shared" si="15"/>
        <v>46067</v>
      </c>
      <c r="X25" s="36">
        <f t="shared" si="15"/>
        <v>46068</v>
      </c>
      <c r="Y25" s="36">
        <f t="shared" si="15"/>
        <v>46069</v>
      </c>
      <c r="Z25" s="36">
        <f t="shared" si="15"/>
        <v>46070</v>
      </c>
      <c r="AA25" s="36">
        <f t="shared" si="15"/>
        <v>46071</v>
      </c>
      <c r="AB25" s="36">
        <f t="shared" si="15"/>
        <v>46072</v>
      </c>
      <c r="AC25" s="36">
        <f t="shared" si="15"/>
        <v>46073</v>
      </c>
      <c r="AD25" s="36">
        <f t="shared" si="15"/>
        <v>46074</v>
      </c>
      <c r="AE25" s="36">
        <f t="shared" si="15"/>
        <v>46075</v>
      </c>
      <c r="AF25" s="36">
        <f t="shared" si="15"/>
        <v>46076</v>
      </c>
      <c r="AG25" s="36">
        <f t="shared" si="15"/>
        <v>46077</v>
      </c>
      <c r="AH25" s="36">
        <f t="shared" si="15"/>
        <v>46078</v>
      </c>
      <c r="AI25" s="36">
        <f t="shared" si="15"/>
        <v>46079</v>
      </c>
      <c r="AJ25" s="36">
        <f t="shared" si="15"/>
        <v>46080</v>
      </c>
      <c r="AK25" s="36">
        <f t="shared" si="15"/>
        <v>46081</v>
      </c>
      <c r="AL25" s="36">
        <f t="shared" si="15"/>
        <v>46082</v>
      </c>
      <c r="AM25" s="37"/>
      <c r="AN25" s="37"/>
    </row>
    <row r="26">
      <c r="A26" s="22"/>
      <c r="B26" s="23" t="str">
        <f t="shared" ref="B26:H26" si="16">IF($E$2="Monday", TEXT(TODAY()-WEEKDAY(TODAY(),2)+COLUMN(B26)-1,"ddd"), TEXT(TODAY()-WEEKDAY(TODAY(),1)+IF(COLUMN(B26)&gt;1,COLUMN(B26)-1,7),"ddd"))
</f>
        <v>Mon</v>
      </c>
      <c r="C26" s="23" t="str">
        <f t="shared" si="16"/>
        <v>Tue</v>
      </c>
      <c r="D26" s="23" t="str">
        <f t="shared" si="16"/>
        <v>Wed</v>
      </c>
      <c r="E26" s="23" t="str">
        <f t="shared" si="16"/>
        <v>Thu</v>
      </c>
      <c r="F26" s="23" t="str">
        <f t="shared" si="16"/>
        <v>Fri</v>
      </c>
      <c r="G26" s="23" t="str">
        <f t="shared" si="16"/>
        <v>Sat</v>
      </c>
      <c r="H26" s="23" t="str">
        <f t="shared" si="16"/>
        <v>Sun</v>
      </c>
      <c r="I26" s="6" t="str">
        <f t="array" ref="I26:I45">Setup!$B$3:$B$22</f>
        <v>🧘🏻‍♀️Yoga</v>
      </c>
      <c r="J26" s="24" t="b">
        <v>0</v>
      </c>
      <c r="K26" s="24" t="b">
        <v>0</v>
      </c>
      <c r="L26" s="24" t="b">
        <v>0</v>
      </c>
      <c r="M26" s="24" t="b">
        <v>0</v>
      </c>
      <c r="N26" s="24" t="b">
        <v>0</v>
      </c>
      <c r="O26" s="24" t="b">
        <v>0</v>
      </c>
      <c r="P26" s="24" t="b">
        <v>0</v>
      </c>
      <c r="Q26" s="24" t="b">
        <v>0</v>
      </c>
      <c r="R26" s="24" t="b">
        <v>0</v>
      </c>
      <c r="S26" s="24" t="b">
        <v>0</v>
      </c>
      <c r="T26" s="24" t="b">
        <v>0</v>
      </c>
      <c r="U26" s="24" t="b">
        <v>0</v>
      </c>
      <c r="V26" s="24" t="b">
        <v>0</v>
      </c>
      <c r="W26" s="24" t="b">
        <v>0</v>
      </c>
      <c r="X26" s="24" t="b">
        <v>0</v>
      </c>
      <c r="Y26" s="24" t="b">
        <v>0</v>
      </c>
      <c r="Z26" s="24" t="b">
        <v>0</v>
      </c>
      <c r="AA26" s="24" t="b">
        <v>0</v>
      </c>
      <c r="AB26" s="24" t="b">
        <v>0</v>
      </c>
      <c r="AC26" s="24" t="b">
        <v>0</v>
      </c>
      <c r="AD26" s="24" t="b">
        <v>0</v>
      </c>
      <c r="AE26" s="24" t="b">
        <v>0</v>
      </c>
      <c r="AF26" s="24" t="b">
        <v>0</v>
      </c>
      <c r="AG26" s="38" t="b">
        <v>0</v>
      </c>
      <c r="AH26" s="38" t="b">
        <v>0</v>
      </c>
      <c r="AI26" s="38" t="b">
        <v>0</v>
      </c>
      <c r="AJ26" s="38" t="b">
        <v>0</v>
      </c>
      <c r="AK26" s="38" t="b">
        <v>0</v>
      </c>
      <c r="AL26" s="38" t="b">
        <v>0</v>
      </c>
      <c r="AM26" s="38"/>
      <c r="AN26" s="38"/>
      <c r="AO26" s="25">
        <f t="shared" ref="AO26:AO45" si="18">COUNTIF(J26:AN26, "TRUE")</f>
        <v>0</v>
      </c>
      <c r="AQ26" s="25">
        <f>IFERROR(__xludf.DUMMYFUNCTION("if(iserror(match(true,J26:AN26,0)),0,len(index(split(substitute(substitute(join("","",J26:AN26)&amp;"","",""TRUE,"",""x""),""FALSE,"","",""),"",""),,counta(split(substitute(substitute(join("","",J26:AN26)&amp;"","",""TRUE,"",""x""),""FALSE,"","",""),"","")))))"),0.0)</f>
        <v>0</v>
      </c>
      <c r="AR26" s="25" t="str">
        <f>IFERROR(__xludf.DUMMYFUNCTION("arrayformula( if( sum(J26:AN26 + 0), max( len( split( concatenate( left(J26:AN26) ), ""F"" ) ) ), ""0"" ) )"),"0")</f>
        <v>0</v>
      </c>
      <c r="AS26" s="26">
        <v>15.0</v>
      </c>
      <c r="AT26" s="27">
        <f t="shared" ref="AT26:AT45" si="19">AO26/AS26</f>
        <v>0</v>
      </c>
    </row>
    <row r="27">
      <c r="A27" s="28">
        <f>WEEKNUM(DATE(D1, MONTH(I24 &amp; 1), 1), 2)
</f>
        <v>5</v>
      </c>
      <c r="B27" s="29">
        <f t="array" ref="B27">IFERROR(DATE($D$1, 1, (A27-1)*7 + 2 - WEEKDAY(DATE($D$1, 1, 1) - MATCH(B26, {"Mon","Tue","Wed","Thu","Fri","Sat","Sun"}, 0))), "")</f>
        <v>46048</v>
      </c>
      <c r="C27" s="30">
        <f t="shared" ref="C27:H27" si="17">B27+1</f>
        <v>46049</v>
      </c>
      <c r="D27" s="30">
        <f t="shared" si="17"/>
        <v>46050</v>
      </c>
      <c r="E27" s="30">
        <f t="shared" si="17"/>
        <v>46051</v>
      </c>
      <c r="F27" s="30">
        <f t="shared" si="17"/>
        <v>46052</v>
      </c>
      <c r="G27" s="30">
        <f t="shared" si="17"/>
        <v>46053</v>
      </c>
      <c r="H27" s="30">
        <f t="shared" si="17"/>
        <v>46054</v>
      </c>
      <c r="I27" s="6" t="s">
        <v>7</v>
      </c>
      <c r="J27" s="24" t="b">
        <v>0</v>
      </c>
      <c r="K27" s="24" t="b">
        <v>0</v>
      </c>
      <c r="L27" s="24" t="b">
        <v>0</v>
      </c>
      <c r="M27" s="24" t="b">
        <v>0</v>
      </c>
      <c r="N27" s="24" t="b">
        <v>0</v>
      </c>
      <c r="O27" s="24" t="b">
        <v>0</v>
      </c>
      <c r="P27" s="24" t="b">
        <v>0</v>
      </c>
      <c r="Q27" s="24" t="b">
        <v>0</v>
      </c>
      <c r="R27" s="24" t="b">
        <v>0</v>
      </c>
      <c r="S27" s="24" t="b">
        <v>0</v>
      </c>
      <c r="T27" s="24" t="b">
        <v>0</v>
      </c>
      <c r="U27" s="24" t="b">
        <v>0</v>
      </c>
      <c r="V27" s="24" t="b">
        <v>0</v>
      </c>
      <c r="W27" s="24" t="b">
        <v>0</v>
      </c>
      <c r="X27" s="24" t="b">
        <v>0</v>
      </c>
      <c r="Y27" s="24" t="b">
        <v>0</v>
      </c>
      <c r="Z27" s="24" t="b">
        <v>0</v>
      </c>
      <c r="AA27" s="24" t="b">
        <v>0</v>
      </c>
      <c r="AB27" s="24" t="b">
        <v>0</v>
      </c>
      <c r="AC27" s="24" t="b">
        <v>0</v>
      </c>
      <c r="AD27" s="24" t="b">
        <v>0</v>
      </c>
      <c r="AE27" s="24" t="b">
        <v>0</v>
      </c>
      <c r="AF27" s="24" t="b">
        <v>0</v>
      </c>
      <c r="AG27" s="24" t="b">
        <v>0</v>
      </c>
      <c r="AH27" s="24" t="b">
        <v>0</v>
      </c>
      <c r="AI27" s="24" t="b">
        <v>0</v>
      </c>
      <c r="AJ27" s="24" t="b">
        <v>0</v>
      </c>
      <c r="AK27" s="24" t="b">
        <v>0</v>
      </c>
      <c r="AL27" s="24" t="b">
        <v>0</v>
      </c>
      <c r="AM27" s="38"/>
      <c r="AN27" s="38"/>
      <c r="AO27" s="25">
        <f t="shared" si="18"/>
        <v>0</v>
      </c>
      <c r="AQ27" s="25">
        <f>IFERROR(__xludf.DUMMYFUNCTION("if(iserror(match(true,J27:AN27,0)),0,len(index(split(substitute(substitute(join("","",J27:AN27)&amp;"","",""TRUE,"",""x""),""FALSE,"","",""),"",""),,counta(split(substitute(substitute(join("","",J27:AN27)&amp;"","",""TRUE,"",""x""),""FALSE,"","",""),"","")))))"),0.0)</f>
        <v>0</v>
      </c>
      <c r="AR27" s="25" t="str">
        <f>IFERROR(__xludf.DUMMYFUNCTION("arrayformula( if( sum(J27:AN27 + 0), max( len( split( concatenate( left(J27:AN27) ), ""F"" ) ) ), ""0"" ) )"),"0")</f>
        <v>0</v>
      </c>
      <c r="AS27" s="26">
        <v>20.0</v>
      </c>
      <c r="AT27" s="27">
        <f t="shared" si="19"/>
        <v>0</v>
      </c>
    </row>
    <row r="28">
      <c r="A28" s="31">
        <f t="shared" ref="A28:A32" si="21">A27+1</f>
        <v>6</v>
      </c>
      <c r="B28" s="30">
        <f t="shared" ref="B28:B32" si="22">H27+1</f>
        <v>46055</v>
      </c>
      <c r="C28" s="30">
        <f t="shared" ref="C28:H28" si="20">B28+1</f>
        <v>46056</v>
      </c>
      <c r="D28" s="30">
        <f t="shared" si="20"/>
        <v>46057</v>
      </c>
      <c r="E28" s="30">
        <f t="shared" si="20"/>
        <v>46058</v>
      </c>
      <c r="F28" s="30">
        <f t="shared" si="20"/>
        <v>46059</v>
      </c>
      <c r="G28" s="30">
        <f t="shared" si="20"/>
        <v>46060</v>
      </c>
      <c r="H28" s="30">
        <f t="shared" si="20"/>
        <v>46061</v>
      </c>
      <c r="I28" s="6" t="s">
        <v>11</v>
      </c>
      <c r="J28" s="24" t="b">
        <v>0</v>
      </c>
      <c r="K28" s="38" t="b">
        <v>0</v>
      </c>
      <c r="L28" s="38" t="b">
        <v>0</v>
      </c>
      <c r="M28" s="38" t="b">
        <v>0</v>
      </c>
      <c r="N28" s="38" t="b">
        <v>0</v>
      </c>
      <c r="O28" s="38" t="b">
        <v>0</v>
      </c>
      <c r="P28" s="38" t="b">
        <v>0</v>
      </c>
      <c r="Q28" s="38" t="b">
        <v>0</v>
      </c>
      <c r="R28" s="38" t="b">
        <v>0</v>
      </c>
      <c r="S28" s="38" t="b">
        <v>0</v>
      </c>
      <c r="T28" s="38" t="b">
        <v>0</v>
      </c>
      <c r="U28" s="38" t="b">
        <v>0</v>
      </c>
      <c r="V28" s="38" t="b">
        <v>0</v>
      </c>
      <c r="W28" s="38" t="b">
        <v>0</v>
      </c>
      <c r="X28" s="38" t="b">
        <v>0</v>
      </c>
      <c r="Y28" s="38" t="b">
        <v>0</v>
      </c>
      <c r="Z28" s="38" t="b">
        <v>0</v>
      </c>
      <c r="AA28" s="38" t="b">
        <v>0</v>
      </c>
      <c r="AB28" s="38" t="b">
        <v>0</v>
      </c>
      <c r="AC28" s="38" t="b">
        <v>0</v>
      </c>
      <c r="AD28" s="38" t="b">
        <v>0</v>
      </c>
      <c r="AE28" s="38" t="b">
        <v>0</v>
      </c>
      <c r="AF28" s="38" t="b">
        <v>0</v>
      </c>
      <c r="AG28" s="38" t="b">
        <v>0</v>
      </c>
      <c r="AH28" s="38" t="b">
        <v>0</v>
      </c>
      <c r="AI28" s="38" t="b">
        <v>0</v>
      </c>
      <c r="AJ28" s="38" t="b">
        <v>0</v>
      </c>
      <c r="AK28" s="38" t="b">
        <v>0</v>
      </c>
      <c r="AL28" s="38" t="b">
        <v>0</v>
      </c>
      <c r="AM28" s="38"/>
      <c r="AN28" s="38"/>
      <c r="AO28" s="25">
        <f t="shared" si="18"/>
        <v>0</v>
      </c>
      <c r="AQ28" s="25">
        <f>IFERROR(__xludf.DUMMYFUNCTION("if(iserror(match(true,J28:AN28,0)),0,len(index(split(substitute(substitute(join("","",J28:AN28)&amp;"","",""TRUE,"",""x""),""FALSE,"","",""),"",""),,counta(split(substitute(substitute(join("","",J28:AN28)&amp;"","",""TRUE,"",""x""),""FALSE,"","",""),"","")))))"),0.0)</f>
        <v>0</v>
      </c>
      <c r="AR28" s="25" t="str">
        <f>IFERROR(__xludf.DUMMYFUNCTION("arrayformula( if( sum(J28:AN28 + 0), max( len( split( concatenate( left(J28:AN28) ), ""F"" ) ) ), ""0"" ) )"),"0")</f>
        <v>0</v>
      </c>
      <c r="AS28" s="26">
        <v>30.0</v>
      </c>
      <c r="AT28" s="27">
        <f t="shared" si="19"/>
        <v>0</v>
      </c>
    </row>
    <row r="29">
      <c r="A29" s="31">
        <f t="shared" si="21"/>
        <v>7</v>
      </c>
      <c r="B29" s="30">
        <f t="shared" si="22"/>
        <v>46062</v>
      </c>
      <c r="C29" s="30">
        <f t="shared" ref="C29:H29" si="23">B29+1</f>
        <v>46063</v>
      </c>
      <c r="D29" s="30">
        <f t="shared" si="23"/>
        <v>46064</v>
      </c>
      <c r="E29" s="30">
        <f t="shared" si="23"/>
        <v>46065</v>
      </c>
      <c r="F29" s="30">
        <f t="shared" si="23"/>
        <v>46066</v>
      </c>
      <c r="G29" s="30">
        <f t="shared" si="23"/>
        <v>46067</v>
      </c>
      <c r="H29" s="30">
        <f t="shared" si="23"/>
        <v>46068</v>
      </c>
      <c r="I29" s="6" t="s">
        <v>14</v>
      </c>
      <c r="J29" s="24" t="b">
        <v>0</v>
      </c>
      <c r="K29" s="38" t="b">
        <v>0</v>
      </c>
      <c r="L29" s="38" t="b">
        <v>0</v>
      </c>
      <c r="M29" s="38" t="b">
        <v>0</v>
      </c>
      <c r="N29" s="38" t="b">
        <v>0</v>
      </c>
      <c r="O29" s="24" t="b">
        <v>0</v>
      </c>
      <c r="P29" s="38" t="b">
        <v>0</v>
      </c>
      <c r="Q29" s="38" t="b">
        <v>0</v>
      </c>
      <c r="R29" s="38" t="b">
        <v>0</v>
      </c>
      <c r="S29" s="38" t="b">
        <v>0</v>
      </c>
      <c r="T29" s="38" t="b">
        <v>0</v>
      </c>
      <c r="U29" s="38" t="b">
        <v>0</v>
      </c>
      <c r="V29" s="38" t="b">
        <v>0</v>
      </c>
      <c r="W29" s="38" t="b">
        <v>0</v>
      </c>
      <c r="X29" s="38" t="b">
        <v>0</v>
      </c>
      <c r="Y29" s="38" t="b">
        <v>0</v>
      </c>
      <c r="Z29" s="38" t="b">
        <v>0</v>
      </c>
      <c r="AA29" s="38" t="b">
        <v>0</v>
      </c>
      <c r="AB29" s="38" t="b">
        <v>0</v>
      </c>
      <c r="AC29" s="38" t="b">
        <v>0</v>
      </c>
      <c r="AD29" s="38" t="b">
        <v>0</v>
      </c>
      <c r="AE29" s="38" t="b">
        <v>0</v>
      </c>
      <c r="AF29" s="38" t="b">
        <v>0</v>
      </c>
      <c r="AG29" s="38" t="b">
        <v>0</v>
      </c>
      <c r="AH29" s="38" t="b">
        <v>0</v>
      </c>
      <c r="AI29" s="38" t="b">
        <v>0</v>
      </c>
      <c r="AJ29" s="38" t="b">
        <v>0</v>
      </c>
      <c r="AK29" s="38" t="b">
        <v>0</v>
      </c>
      <c r="AL29" s="38" t="b">
        <v>0</v>
      </c>
      <c r="AM29" s="38"/>
      <c r="AN29" s="38"/>
      <c r="AO29" s="25">
        <f t="shared" si="18"/>
        <v>0</v>
      </c>
      <c r="AQ29" s="25">
        <f>IFERROR(__xludf.DUMMYFUNCTION("if(iserror(match(true,J29:AN29,0)),0,len(index(split(substitute(substitute(join("","",J29:AN29)&amp;"","",""TRUE,"",""x""),""FALSE,"","",""),"",""),,counta(split(substitute(substitute(join("","",J29:AN29)&amp;"","",""TRUE,"",""x""),""FALSE,"","",""),"","")))))"),0.0)</f>
        <v>0</v>
      </c>
      <c r="AR29" s="25" t="str">
        <f>IFERROR(__xludf.DUMMYFUNCTION("arrayformula( if( sum(J29:AN29 + 0), max( len( split( concatenate( left(J29:AN29) ), ""F"" ) ) ), ""0"" ) )"),"0")</f>
        <v>0</v>
      </c>
      <c r="AS29" s="26">
        <v>20.0</v>
      </c>
      <c r="AT29" s="27">
        <f t="shared" si="19"/>
        <v>0</v>
      </c>
    </row>
    <row r="30">
      <c r="A30" s="31">
        <f t="shared" si="21"/>
        <v>8</v>
      </c>
      <c r="B30" s="30">
        <f t="shared" si="22"/>
        <v>46069</v>
      </c>
      <c r="C30" s="30">
        <f t="shared" ref="C30:H30" si="24">B30+1</f>
        <v>46070</v>
      </c>
      <c r="D30" s="30">
        <f t="shared" si="24"/>
        <v>46071</v>
      </c>
      <c r="E30" s="30">
        <f t="shared" si="24"/>
        <v>46072</v>
      </c>
      <c r="F30" s="30">
        <f t="shared" si="24"/>
        <v>46073</v>
      </c>
      <c r="G30" s="30">
        <f t="shared" si="24"/>
        <v>46074</v>
      </c>
      <c r="H30" s="30">
        <f t="shared" si="24"/>
        <v>46075</v>
      </c>
      <c r="I30" s="6" t="s">
        <v>17</v>
      </c>
      <c r="J30" s="24" t="b">
        <v>0</v>
      </c>
      <c r="K30" s="38" t="b">
        <v>0</v>
      </c>
      <c r="L30" s="38" t="b">
        <v>0</v>
      </c>
      <c r="M30" s="38" t="b">
        <v>0</v>
      </c>
      <c r="N30" s="38" t="b">
        <v>0</v>
      </c>
      <c r="O30" s="38" t="b">
        <v>0</v>
      </c>
      <c r="P30" s="38" t="b">
        <v>0</v>
      </c>
      <c r="Q30" s="38" t="b">
        <v>0</v>
      </c>
      <c r="R30" s="38" t="b">
        <v>0</v>
      </c>
      <c r="S30" s="38" t="b">
        <v>0</v>
      </c>
      <c r="T30" s="38" t="b">
        <v>0</v>
      </c>
      <c r="U30" s="38" t="b">
        <v>0</v>
      </c>
      <c r="V30" s="38" t="b">
        <v>0</v>
      </c>
      <c r="W30" s="38" t="b">
        <v>0</v>
      </c>
      <c r="X30" s="38" t="b">
        <v>0</v>
      </c>
      <c r="Y30" s="38" t="b">
        <v>0</v>
      </c>
      <c r="Z30" s="38" t="b">
        <v>0</v>
      </c>
      <c r="AA30" s="38" t="b">
        <v>0</v>
      </c>
      <c r="AB30" s="38" t="b">
        <v>0</v>
      </c>
      <c r="AC30" s="38" t="b">
        <v>0</v>
      </c>
      <c r="AD30" s="38" t="b">
        <v>0</v>
      </c>
      <c r="AE30" s="38" t="b">
        <v>0</v>
      </c>
      <c r="AF30" s="38" t="b">
        <v>0</v>
      </c>
      <c r="AG30" s="38" t="b">
        <v>0</v>
      </c>
      <c r="AH30" s="38" t="b">
        <v>0</v>
      </c>
      <c r="AI30" s="38" t="b">
        <v>0</v>
      </c>
      <c r="AJ30" s="38" t="b">
        <v>0</v>
      </c>
      <c r="AK30" s="38" t="b">
        <v>0</v>
      </c>
      <c r="AL30" s="38" t="b">
        <v>0</v>
      </c>
      <c r="AM30" s="38"/>
      <c r="AN30" s="38"/>
      <c r="AO30" s="25">
        <f t="shared" si="18"/>
        <v>0</v>
      </c>
      <c r="AQ30" s="25">
        <f>IFERROR(__xludf.DUMMYFUNCTION("if(iserror(match(true,J30:AN30,0)),0,len(index(split(substitute(substitute(join("","",J30:AN30)&amp;"","",""TRUE,"",""x""),""FALSE,"","",""),"",""),,counta(split(substitute(substitute(join("","",J30:AN30)&amp;"","",""TRUE,"",""x""),""FALSE,"","",""),"","")))))"),0.0)</f>
        <v>0</v>
      </c>
      <c r="AR30" s="25" t="str">
        <f>IFERROR(__xludf.DUMMYFUNCTION("arrayformula( if( sum(J30:AN30 + 0), max( len( split( concatenate( left(J30:AN30) ), ""F"" ) ) ), ""0"" ) )"),"0")</f>
        <v>0</v>
      </c>
      <c r="AS30" s="26">
        <v>20.0</v>
      </c>
      <c r="AT30" s="27">
        <f t="shared" si="19"/>
        <v>0</v>
      </c>
    </row>
    <row r="31">
      <c r="A31" s="31">
        <f t="shared" si="21"/>
        <v>9</v>
      </c>
      <c r="B31" s="30">
        <f t="shared" si="22"/>
        <v>46076</v>
      </c>
      <c r="C31" s="30">
        <f t="shared" ref="C31:H31" si="25">B31+1</f>
        <v>46077</v>
      </c>
      <c r="D31" s="30">
        <f t="shared" si="25"/>
        <v>46078</v>
      </c>
      <c r="E31" s="30">
        <f t="shared" si="25"/>
        <v>46079</v>
      </c>
      <c r="F31" s="30">
        <f t="shared" si="25"/>
        <v>46080</v>
      </c>
      <c r="G31" s="30">
        <f t="shared" si="25"/>
        <v>46081</v>
      </c>
      <c r="H31" s="30">
        <f t="shared" si="25"/>
        <v>46082</v>
      </c>
      <c r="I31" s="6" t="s">
        <v>20</v>
      </c>
      <c r="J31" s="24" t="b">
        <v>0</v>
      </c>
      <c r="K31" s="38" t="b">
        <v>0</v>
      </c>
      <c r="L31" s="38" t="b">
        <v>0</v>
      </c>
      <c r="M31" s="38" t="b">
        <v>0</v>
      </c>
      <c r="N31" s="38" t="b">
        <v>0</v>
      </c>
      <c r="O31" s="38" t="b">
        <v>0</v>
      </c>
      <c r="P31" s="38" t="b">
        <v>0</v>
      </c>
      <c r="Q31" s="38" t="b">
        <v>0</v>
      </c>
      <c r="R31" s="38" t="b">
        <v>0</v>
      </c>
      <c r="S31" s="38" t="b">
        <v>0</v>
      </c>
      <c r="T31" s="38" t="b">
        <v>0</v>
      </c>
      <c r="U31" s="38" t="b">
        <v>0</v>
      </c>
      <c r="V31" s="38" t="b">
        <v>0</v>
      </c>
      <c r="W31" s="38" t="b">
        <v>0</v>
      </c>
      <c r="X31" s="38" t="b">
        <v>0</v>
      </c>
      <c r="Y31" s="38" t="b">
        <v>0</v>
      </c>
      <c r="Z31" s="38" t="b">
        <v>0</v>
      </c>
      <c r="AA31" s="38" t="b">
        <v>0</v>
      </c>
      <c r="AB31" s="38" t="b">
        <v>0</v>
      </c>
      <c r="AC31" s="38" t="b">
        <v>0</v>
      </c>
      <c r="AD31" s="38" t="b">
        <v>0</v>
      </c>
      <c r="AE31" s="38" t="b">
        <v>0</v>
      </c>
      <c r="AF31" s="38" t="b">
        <v>0</v>
      </c>
      <c r="AG31" s="38" t="b">
        <v>0</v>
      </c>
      <c r="AH31" s="38" t="b">
        <v>0</v>
      </c>
      <c r="AI31" s="38" t="b">
        <v>0</v>
      </c>
      <c r="AJ31" s="38" t="b">
        <v>0</v>
      </c>
      <c r="AK31" s="38" t="b">
        <v>0</v>
      </c>
      <c r="AL31" s="38" t="b">
        <v>0</v>
      </c>
      <c r="AM31" s="38"/>
      <c r="AN31" s="38"/>
      <c r="AO31" s="25">
        <f t="shared" si="18"/>
        <v>0</v>
      </c>
      <c r="AQ31" s="25">
        <f>IFERROR(__xludf.DUMMYFUNCTION("if(iserror(match(true,J31:AN31,0)),0,len(index(split(substitute(substitute(join("","",J31:AN31)&amp;"","",""TRUE,"",""x""),""FALSE,"","",""),"",""),,counta(split(substitute(substitute(join("","",J31:AN31)&amp;"","",""TRUE,"",""x""),""FALSE,"","",""),"","")))))"),0.0)</f>
        <v>0</v>
      </c>
      <c r="AR31" s="25" t="str">
        <f>IFERROR(__xludf.DUMMYFUNCTION("arrayformula( if( sum(J31:AN31 + 0), max( len( split( concatenate( left(J31:AN31) ), ""F"" ) ) ), ""0"" ) )"),"0")</f>
        <v>0</v>
      </c>
      <c r="AS31" s="26">
        <v>15.0</v>
      </c>
      <c r="AT31" s="27">
        <f t="shared" si="19"/>
        <v>0</v>
      </c>
    </row>
    <row r="32">
      <c r="A32" s="31">
        <f t="shared" si="21"/>
        <v>10</v>
      </c>
      <c r="B32" s="30">
        <f t="shared" si="22"/>
        <v>46083</v>
      </c>
      <c r="C32" s="30">
        <f t="shared" ref="C32:H32" si="26">B32+1</f>
        <v>46084</v>
      </c>
      <c r="D32" s="30">
        <f t="shared" si="26"/>
        <v>46085</v>
      </c>
      <c r="E32" s="30">
        <f t="shared" si="26"/>
        <v>46086</v>
      </c>
      <c r="F32" s="30">
        <f t="shared" si="26"/>
        <v>46087</v>
      </c>
      <c r="G32" s="30">
        <f t="shared" si="26"/>
        <v>46088</v>
      </c>
      <c r="H32" s="30">
        <f t="shared" si="26"/>
        <v>46089</v>
      </c>
      <c r="I32" s="6"/>
      <c r="J32" s="24" t="b">
        <v>0</v>
      </c>
      <c r="K32" s="38" t="b">
        <v>0</v>
      </c>
      <c r="L32" s="38" t="b">
        <v>0</v>
      </c>
      <c r="M32" s="38" t="b">
        <v>0</v>
      </c>
      <c r="N32" s="38" t="b">
        <v>0</v>
      </c>
      <c r="O32" s="38" t="b">
        <v>0</v>
      </c>
      <c r="P32" s="38" t="b">
        <v>0</v>
      </c>
      <c r="Q32" s="38" t="b">
        <v>0</v>
      </c>
      <c r="R32" s="38" t="b">
        <v>0</v>
      </c>
      <c r="S32" s="38" t="b">
        <v>0</v>
      </c>
      <c r="T32" s="38" t="b">
        <v>0</v>
      </c>
      <c r="U32" s="38" t="b">
        <v>0</v>
      </c>
      <c r="V32" s="38" t="b">
        <v>0</v>
      </c>
      <c r="W32" s="38" t="b">
        <v>0</v>
      </c>
      <c r="X32" s="38" t="b">
        <v>0</v>
      </c>
      <c r="Y32" s="38" t="b">
        <v>0</v>
      </c>
      <c r="Z32" s="38" t="b">
        <v>0</v>
      </c>
      <c r="AA32" s="38" t="b">
        <v>0</v>
      </c>
      <c r="AB32" s="38" t="b">
        <v>0</v>
      </c>
      <c r="AC32" s="38" t="b">
        <v>0</v>
      </c>
      <c r="AD32" s="38" t="b">
        <v>0</v>
      </c>
      <c r="AE32" s="38" t="b">
        <v>0</v>
      </c>
      <c r="AF32" s="38" t="b">
        <v>0</v>
      </c>
      <c r="AG32" s="38" t="b">
        <v>0</v>
      </c>
      <c r="AH32" s="38" t="b">
        <v>0</v>
      </c>
      <c r="AI32" s="38" t="b">
        <v>0</v>
      </c>
      <c r="AJ32" s="38" t="b">
        <v>0</v>
      </c>
      <c r="AK32" s="38" t="b">
        <v>0</v>
      </c>
      <c r="AL32" s="38" t="b">
        <v>0</v>
      </c>
      <c r="AM32" s="38"/>
      <c r="AN32" s="38"/>
      <c r="AO32" s="25">
        <f t="shared" si="18"/>
        <v>0</v>
      </c>
      <c r="AQ32" s="25">
        <f>IFERROR(__xludf.DUMMYFUNCTION("if(iserror(match(true,J32:AN32,0)),0,len(index(split(substitute(substitute(join("","",J32:AN32)&amp;"","",""TRUE,"",""x""),""FALSE,"","",""),"",""),,counta(split(substitute(substitute(join("","",J32:AN32)&amp;"","",""TRUE,"",""x""),""FALSE,"","",""),"","")))))"),0.0)</f>
        <v>0</v>
      </c>
      <c r="AR32" s="25" t="str">
        <f>IFERROR(__xludf.DUMMYFUNCTION("arrayformula( if( sum(J32:AN32 + 0), max( len( split( concatenate( left(J32:AN32) ), ""F"" ) ) ), ""0"" ) )"),"0")</f>
        <v>0</v>
      </c>
      <c r="AS32" s="26">
        <v>15.0</v>
      </c>
      <c r="AT32" s="27">
        <f t="shared" si="19"/>
        <v>0</v>
      </c>
    </row>
    <row r="33" hidden="1">
      <c r="A33" s="39"/>
      <c r="B33" s="40"/>
      <c r="C33" s="40"/>
      <c r="D33" s="41"/>
      <c r="E33" s="41"/>
      <c r="F33" s="41"/>
      <c r="G33" s="41"/>
      <c r="H33" s="41"/>
      <c r="I33" s="6"/>
      <c r="J33" s="24" t="b">
        <v>0</v>
      </c>
      <c r="K33" s="38" t="b">
        <v>0</v>
      </c>
      <c r="L33" s="38" t="b">
        <v>0</v>
      </c>
      <c r="M33" s="38" t="b">
        <v>0</v>
      </c>
      <c r="N33" s="38" t="b">
        <v>0</v>
      </c>
      <c r="O33" s="38" t="b">
        <v>0</v>
      </c>
      <c r="P33" s="38" t="b">
        <v>0</v>
      </c>
      <c r="Q33" s="38" t="b">
        <v>0</v>
      </c>
      <c r="R33" s="38" t="b">
        <v>0</v>
      </c>
      <c r="S33" s="38" t="b">
        <v>0</v>
      </c>
      <c r="T33" s="38" t="b">
        <v>0</v>
      </c>
      <c r="U33" s="38" t="b">
        <v>0</v>
      </c>
      <c r="V33" s="38" t="b">
        <v>0</v>
      </c>
      <c r="W33" s="38" t="b">
        <v>0</v>
      </c>
      <c r="X33" s="38" t="b">
        <v>0</v>
      </c>
      <c r="Y33" s="38" t="b">
        <v>0</v>
      </c>
      <c r="Z33" s="38" t="b">
        <v>0</v>
      </c>
      <c r="AA33" s="38" t="b">
        <v>0</v>
      </c>
      <c r="AB33" s="38" t="b">
        <v>0</v>
      </c>
      <c r="AC33" s="38" t="b">
        <v>0</v>
      </c>
      <c r="AD33" s="38" t="b">
        <v>0</v>
      </c>
      <c r="AE33" s="38" t="b">
        <v>0</v>
      </c>
      <c r="AF33" s="38" t="b">
        <v>0</v>
      </c>
      <c r="AG33" s="38" t="b">
        <v>0</v>
      </c>
      <c r="AH33" s="38" t="b">
        <v>0</v>
      </c>
      <c r="AI33" s="38" t="b">
        <v>0</v>
      </c>
      <c r="AJ33" s="38" t="b">
        <v>0</v>
      </c>
      <c r="AK33" s="38" t="b">
        <v>0</v>
      </c>
      <c r="AL33" s="38"/>
      <c r="AM33" s="38"/>
      <c r="AN33" s="38"/>
      <c r="AO33" s="25">
        <f t="shared" si="18"/>
        <v>0</v>
      </c>
      <c r="AQ33" s="25">
        <f>IFERROR(__xludf.DUMMYFUNCTION("if(iserror(match(true,J33:AN33,0)),0,len(index(split(substitute(substitute(join("","",J33:AN33)&amp;"","",""TRUE,"",""x""),""FALSE,"","",""),"",""),,counta(split(substitute(substitute(join("","",J33:AN33)&amp;"","",""TRUE,"",""x""),""FALSE,"","",""),"","")))))"),0.0)</f>
        <v>0</v>
      </c>
      <c r="AR33" s="25" t="str">
        <f>IFERROR(__xludf.DUMMYFUNCTION("arrayformula( if( sum(J33:AN33 + 0), max( len( split( concatenate( left(J33:AN33) ), ""F"" ) ) ), ""0"" ) )"),"0")</f>
        <v>0</v>
      </c>
      <c r="AS33" s="26">
        <v>15.0</v>
      </c>
      <c r="AT33" s="27">
        <f t="shared" si="19"/>
        <v>0</v>
      </c>
    </row>
    <row r="34" hidden="1">
      <c r="A34" s="39"/>
      <c r="B34" s="40"/>
      <c r="C34" s="40"/>
      <c r="D34" s="41"/>
      <c r="E34" s="41"/>
      <c r="F34" s="41"/>
      <c r="G34" s="41"/>
      <c r="H34" s="41"/>
      <c r="I34" s="6"/>
      <c r="J34" s="24" t="b">
        <v>0</v>
      </c>
      <c r="K34" s="38" t="b">
        <v>0</v>
      </c>
      <c r="L34" s="38" t="b">
        <v>0</v>
      </c>
      <c r="M34" s="38" t="b">
        <v>0</v>
      </c>
      <c r="N34" s="38" t="b">
        <v>0</v>
      </c>
      <c r="O34" s="38" t="b">
        <v>0</v>
      </c>
      <c r="P34" s="38" t="b">
        <v>0</v>
      </c>
      <c r="Q34" s="38" t="b">
        <v>0</v>
      </c>
      <c r="R34" s="38" t="b">
        <v>0</v>
      </c>
      <c r="S34" s="38" t="b">
        <v>0</v>
      </c>
      <c r="T34" s="38" t="b">
        <v>0</v>
      </c>
      <c r="U34" s="38" t="b">
        <v>0</v>
      </c>
      <c r="V34" s="38" t="b">
        <v>0</v>
      </c>
      <c r="W34" s="38" t="b">
        <v>0</v>
      </c>
      <c r="X34" s="38" t="b">
        <v>0</v>
      </c>
      <c r="Y34" s="38" t="b">
        <v>0</v>
      </c>
      <c r="Z34" s="38" t="b">
        <v>0</v>
      </c>
      <c r="AA34" s="38" t="b">
        <v>0</v>
      </c>
      <c r="AB34" s="38" t="b">
        <v>0</v>
      </c>
      <c r="AC34" s="38" t="b">
        <v>0</v>
      </c>
      <c r="AD34" s="38" t="b">
        <v>0</v>
      </c>
      <c r="AE34" s="38" t="b">
        <v>0</v>
      </c>
      <c r="AF34" s="38" t="b">
        <v>0</v>
      </c>
      <c r="AG34" s="38" t="b">
        <v>0</v>
      </c>
      <c r="AH34" s="38" t="b">
        <v>0</v>
      </c>
      <c r="AI34" s="38" t="b">
        <v>0</v>
      </c>
      <c r="AJ34" s="38" t="b">
        <v>0</v>
      </c>
      <c r="AK34" s="38" t="b">
        <v>0</v>
      </c>
      <c r="AL34" s="38"/>
      <c r="AM34" s="38"/>
      <c r="AN34" s="38"/>
      <c r="AO34" s="25">
        <f t="shared" si="18"/>
        <v>0</v>
      </c>
      <c r="AQ34" s="25">
        <f>IFERROR(__xludf.DUMMYFUNCTION("if(iserror(match(true,J34:AN34,0)),0,len(index(split(substitute(substitute(join("","",J34:AN34)&amp;"","",""TRUE,"",""x""),""FALSE,"","",""),"",""),,counta(split(substitute(substitute(join("","",J34:AN34)&amp;"","",""TRUE,"",""x""),""FALSE,"","",""),"","")))))"),0.0)</f>
        <v>0</v>
      </c>
      <c r="AR34" s="25" t="str">
        <f>IFERROR(__xludf.DUMMYFUNCTION("arrayformula( if( sum(J34:AN34 + 0), max( len( split( concatenate( left(J34:AN34) ), ""F"" ) ) ), ""0"" ) )"),"0")</f>
        <v>0</v>
      </c>
      <c r="AS34" s="26">
        <v>15.0</v>
      </c>
      <c r="AT34" s="27">
        <f t="shared" si="19"/>
        <v>0</v>
      </c>
    </row>
    <row r="35" hidden="1">
      <c r="A35" s="39"/>
      <c r="B35" s="40"/>
      <c r="C35" s="40"/>
      <c r="D35" s="41"/>
      <c r="E35" s="41"/>
      <c r="F35" s="41"/>
      <c r="G35" s="41"/>
      <c r="H35" s="41"/>
      <c r="I35" s="6"/>
      <c r="J35" s="24" t="b">
        <v>0</v>
      </c>
      <c r="K35" s="38" t="b">
        <v>0</v>
      </c>
      <c r="L35" s="38" t="b">
        <v>0</v>
      </c>
      <c r="M35" s="38" t="b">
        <v>0</v>
      </c>
      <c r="N35" s="38" t="b">
        <v>0</v>
      </c>
      <c r="O35" s="38" t="b">
        <v>0</v>
      </c>
      <c r="P35" s="38" t="b">
        <v>0</v>
      </c>
      <c r="Q35" s="38" t="b">
        <v>0</v>
      </c>
      <c r="R35" s="38" t="b">
        <v>0</v>
      </c>
      <c r="S35" s="38" t="b">
        <v>0</v>
      </c>
      <c r="T35" s="38" t="b">
        <v>0</v>
      </c>
      <c r="U35" s="38" t="b">
        <v>0</v>
      </c>
      <c r="V35" s="38" t="b">
        <v>0</v>
      </c>
      <c r="W35" s="38" t="b">
        <v>0</v>
      </c>
      <c r="X35" s="38" t="b">
        <v>0</v>
      </c>
      <c r="Y35" s="38" t="b">
        <v>0</v>
      </c>
      <c r="Z35" s="38" t="b">
        <v>0</v>
      </c>
      <c r="AA35" s="38" t="b">
        <v>0</v>
      </c>
      <c r="AB35" s="38" t="b">
        <v>0</v>
      </c>
      <c r="AC35" s="38" t="b">
        <v>0</v>
      </c>
      <c r="AD35" s="38" t="b">
        <v>0</v>
      </c>
      <c r="AE35" s="38" t="b">
        <v>0</v>
      </c>
      <c r="AF35" s="38" t="b">
        <v>0</v>
      </c>
      <c r="AG35" s="38" t="b">
        <v>0</v>
      </c>
      <c r="AH35" s="38" t="b">
        <v>0</v>
      </c>
      <c r="AI35" s="38" t="b">
        <v>0</v>
      </c>
      <c r="AJ35" s="38" t="b">
        <v>0</v>
      </c>
      <c r="AK35" s="38" t="b">
        <v>0</v>
      </c>
      <c r="AL35" s="38"/>
      <c r="AM35" s="38"/>
      <c r="AN35" s="38"/>
      <c r="AO35" s="25">
        <f t="shared" si="18"/>
        <v>0</v>
      </c>
      <c r="AQ35" s="25">
        <f>IFERROR(__xludf.DUMMYFUNCTION("if(iserror(match(true,J35:AN35,0)),0,len(index(split(substitute(substitute(join("","",J35:AN35)&amp;"","",""TRUE,"",""x""),""FALSE,"","",""),"",""),,counta(split(substitute(substitute(join("","",J35:AN35)&amp;"","",""TRUE,"",""x""),""FALSE,"","",""),"","")))))"),0.0)</f>
        <v>0</v>
      </c>
      <c r="AR35" s="25" t="str">
        <f>IFERROR(__xludf.DUMMYFUNCTION("arrayformula( if( sum(J35:AN35 + 0), max( len( split( concatenate( left(J35:AN35) ), ""F"" ) ) ), ""0"" ) )"),"0")</f>
        <v>0</v>
      </c>
      <c r="AS35" s="26">
        <v>15.0</v>
      </c>
      <c r="AT35" s="27">
        <f t="shared" si="19"/>
        <v>0</v>
      </c>
    </row>
    <row r="36" hidden="1">
      <c r="A36" s="39"/>
      <c r="B36" s="40"/>
      <c r="C36" s="40"/>
      <c r="D36" s="41"/>
      <c r="E36" s="41"/>
      <c r="F36" s="41"/>
      <c r="G36" s="41"/>
      <c r="H36" s="41"/>
      <c r="I36" s="6"/>
      <c r="J36" s="24" t="b">
        <v>0</v>
      </c>
      <c r="K36" s="38" t="b">
        <v>0</v>
      </c>
      <c r="L36" s="38" t="b">
        <v>0</v>
      </c>
      <c r="M36" s="38" t="b">
        <v>0</v>
      </c>
      <c r="N36" s="38" t="b">
        <v>0</v>
      </c>
      <c r="O36" s="38" t="b">
        <v>0</v>
      </c>
      <c r="P36" s="38" t="b">
        <v>0</v>
      </c>
      <c r="Q36" s="38" t="b">
        <v>0</v>
      </c>
      <c r="R36" s="38" t="b">
        <v>0</v>
      </c>
      <c r="S36" s="38" t="b">
        <v>0</v>
      </c>
      <c r="T36" s="38" t="b">
        <v>0</v>
      </c>
      <c r="U36" s="38" t="b">
        <v>0</v>
      </c>
      <c r="V36" s="38" t="b">
        <v>0</v>
      </c>
      <c r="W36" s="38" t="b">
        <v>0</v>
      </c>
      <c r="X36" s="38" t="b">
        <v>0</v>
      </c>
      <c r="Y36" s="38" t="b">
        <v>0</v>
      </c>
      <c r="Z36" s="38" t="b">
        <v>0</v>
      </c>
      <c r="AA36" s="38" t="b">
        <v>0</v>
      </c>
      <c r="AB36" s="38" t="b">
        <v>0</v>
      </c>
      <c r="AC36" s="38" t="b">
        <v>0</v>
      </c>
      <c r="AD36" s="38" t="b">
        <v>0</v>
      </c>
      <c r="AE36" s="38" t="b">
        <v>0</v>
      </c>
      <c r="AF36" s="38" t="b">
        <v>0</v>
      </c>
      <c r="AG36" s="38" t="b">
        <v>0</v>
      </c>
      <c r="AH36" s="38" t="b">
        <v>0</v>
      </c>
      <c r="AI36" s="38" t="b">
        <v>0</v>
      </c>
      <c r="AJ36" s="38" t="b">
        <v>0</v>
      </c>
      <c r="AK36" s="38" t="b">
        <v>0</v>
      </c>
      <c r="AL36" s="38"/>
      <c r="AM36" s="38"/>
      <c r="AN36" s="38"/>
      <c r="AO36" s="25">
        <f t="shared" si="18"/>
        <v>0</v>
      </c>
      <c r="AQ36" s="25">
        <f>IFERROR(__xludf.DUMMYFUNCTION("if(iserror(match(true,J36:AN36,0)),0,len(index(split(substitute(substitute(join("","",J36:AN36)&amp;"","",""TRUE,"",""x""),""FALSE,"","",""),"",""),,counta(split(substitute(substitute(join("","",J36:AN36)&amp;"","",""TRUE,"",""x""),""FALSE,"","",""),"","")))))"),0.0)</f>
        <v>0</v>
      </c>
      <c r="AR36" s="25" t="str">
        <f>IFERROR(__xludf.DUMMYFUNCTION("arrayformula( if( sum(J36:AN36 + 0), max( len( split( concatenate( left(J36:AN36) ), ""F"" ) ) ), ""0"" ) )"),"0")</f>
        <v>0</v>
      </c>
      <c r="AS36" s="26">
        <v>15.0</v>
      </c>
      <c r="AT36" s="27">
        <f t="shared" si="19"/>
        <v>0</v>
      </c>
    </row>
    <row r="37" hidden="1">
      <c r="A37" s="39"/>
      <c r="B37" s="40"/>
      <c r="C37" s="40"/>
      <c r="D37" s="41"/>
      <c r="E37" s="41"/>
      <c r="F37" s="41"/>
      <c r="G37" s="41"/>
      <c r="H37" s="41"/>
      <c r="I37" s="6"/>
      <c r="J37" s="24" t="b">
        <v>0</v>
      </c>
      <c r="K37" s="38" t="b">
        <v>0</v>
      </c>
      <c r="L37" s="38" t="b">
        <v>0</v>
      </c>
      <c r="M37" s="38" t="b">
        <v>0</v>
      </c>
      <c r="N37" s="38" t="b">
        <v>0</v>
      </c>
      <c r="O37" s="38" t="b">
        <v>0</v>
      </c>
      <c r="P37" s="38" t="b">
        <v>0</v>
      </c>
      <c r="Q37" s="38" t="b">
        <v>0</v>
      </c>
      <c r="R37" s="38" t="b">
        <v>0</v>
      </c>
      <c r="S37" s="38" t="b">
        <v>0</v>
      </c>
      <c r="T37" s="38" t="b">
        <v>0</v>
      </c>
      <c r="U37" s="38" t="b">
        <v>0</v>
      </c>
      <c r="V37" s="38" t="b">
        <v>0</v>
      </c>
      <c r="W37" s="38" t="b">
        <v>0</v>
      </c>
      <c r="X37" s="38" t="b">
        <v>0</v>
      </c>
      <c r="Y37" s="38" t="b">
        <v>0</v>
      </c>
      <c r="Z37" s="38" t="b">
        <v>0</v>
      </c>
      <c r="AA37" s="38" t="b">
        <v>0</v>
      </c>
      <c r="AB37" s="38" t="b">
        <v>0</v>
      </c>
      <c r="AC37" s="38" t="b">
        <v>0</v>
      </c>
      <c r="AD37" s="38" t="b">
        <v>0</v>
      </c>
      <c r="AE37" s="38" t="b">
        <v>0</v>
      </c>
      <c r="AF37" s="38" t="b">
        <v>0</v>
      </c>
      <c r="AG37" s="38" t="b">
        <v>0</v>
      </c>
      <c r="AH37" s="38" t="b">
        <v>0</v>
      </c>
      <c r="AI37" s="38" t="b">
        <v>0</v>
      </c>
      <c r="AJ37" s="38" t="b">
        <v>0</v>
      </c>
      <c r="AK37" s="38" t="b">
        <v>0</v>
      </c>
      <c r="AL37" s="38"/>
      <c r="AM37" s="38"/>
      <c r="AN37" s="38"/>
      <c r="AO37" s="25">
        <f t="shared" si="18"/>
        <v>0</v>
      </c>
      <c r="AQ37" s="25">
        <f>IFERROR(__xludf.DUMMYFUNCTION("if(iserror(match(true,J37:AN37,0)),0,len(index(split(substitute(substitute(join("","",J37:AN37)&amp;"","",""TRUE,"",""x""),""FALSE,"","",""),"",""),,counta(split(substitute(substitute(join("","",J37:AN37)&amp;"","",""TRUE,"",""x""),""FALSE,"","",""),"","")))))"),0.0)</f>
        <v>0</v>
      </c>
      <c r="AR37" s="25" t="str">
        <f>IFERROR(__xludf.DUMMYFUNCTION("arrayformula( if( sum(J37:AN37 + 0), max( len( split( concatenate( left(J37:AN37) ), ""F"" ) ) ), ""0"" ) )"),"0")</f>
        <v>0</v>
      </c>
      <c r="AS37" s="26">
        <v>15.0</v>
      </c>
      <c r="AT37" s="27">
        <f t="shared" si="19"/>
        <v>0</v>
      </c>
    </row>
    <row r="38" hidden="1">
      <c r="A38" s="39"/>
      <c r="B38" s="40"/>
      <c r="C38" s="40"/>
      <c r="D38" s="41"/>
      <c r="E38" s="41"/>
      <c r="F38" s="41"/>
      <c r="G38" s="41"/>
      <c r="H38" s="41"/>
      <c r="I38" s="6"/>
      <c r="J38" s="24" t="b">
        <v>0</v>
      </c>
      <c r="K38" s="38" t="b">
        <v>0</v>
      </c>
      <c r="L38" s="38" t="b">
        <v>0</v>
      </c>
      <c r="M38" s="38" t="b">
        <v>0</v>
      </c>
      <c r="N38" s="38" t="b">
        <v>0</v>
      </c>
      <c r="O38" s="38" t="b">
        <v>0</v>
      </c>
      <c r="P38" s="38" t="b">
        <v>0</v>
      </c>
      <c r="Q38" s="38" t="b">
        <v>0</v>
      </c>
      <c r="R38" s="38" t="b">
        <v>0</v>
      </c>
      <c r="S38" s="38" t="b">
        <v>0</v>
      </c>
      <c r="T38" s="38" t="b">
        <v>0</v>
      </c>
      <c r="U38" s="38" t="b">
        <v>0</v>
      </c>
      <c r="V38" s="38" t="b">
        <v>0</v>
      </c>
      <c r="W38" s="38" t="b">
        <v>0</v>
      </c>
      <c r="X38" s="38" t="b">
        <v>0</v>
      </c>
      <c r="Y38" s="38" t="b">
        <v>0</v>
      </c>
      <c r="Z38" s="38" t="b">
        <v>0</v>
      </c>
      <c r="AA38" s="38" t="b">
        <v>0</v>
      </c>
      <c r="AB38" s="38" t="b">
        <v>0</v>
      </c>
      <c r="AC38" s="38" t="b">
        <v>0</v>
      </c>
      <c r="AD38" s="38" t="b">
        <v>0</v>
      </c>
      <c r="AE38" s="38" t="b">
        <v>0</v>
      </c>
      <c r="AF38" s="38" t="b">
        <v>0</v>
      </c>
      <c r="AG38" s="38" t="b">
        <v>0</v>
      </c>
      <c r="AH38" s="38" t="b">
        <v>0</v>
      </c>
      <c r="AI38" s="38" t="b">
        <v>0</v>
      </c>
      <c r="AJ38" s="38" t="b">
        <v>0</v>
      </c>
      <c r="AK38" s="38" t="b">
        <v>0</v>
      </c>
      <c r="AL38" s="38"/>
      <c r="AM38" s="38"/>
      <c r="AN38" s="38"/>
      <c r="AO38" s="25">
        <f t="shared" si="18"/>
        <v>0</v>
      </c>
      <c r="AQ38" s="25">
        <f>IFERROR(__xludf.DUMMYFUNCTION("if(iserror(match(true,J38:AN38,0)),0,len(index(split(substitute(substitute(join("","",J38:AN38)&amp;"","",""TRUE,"",""x""),""FALSE,"","",""),"",""),,counta(split(substitute(substitute(join("","",J38:AN38)&amp;"","",""TRUE,"",""x""),""FALSE,"","",""),"","")))))"),0.0)</f>
        <v>0</v>
      </c>
      <c r="AR38" s="25" t="str">
        <f>IFERROR(__xludf.DUMMYFUNCTION("arrayformula( if( sum(J38:AN38 + 0), max( len( split( concatenate( left(J38:AN38) ), ""F"" ) ) ), ""0"" ) )"),"0")</f>
        <v>0</v>
      </c>
      <c r="AS38" s="26">
        <v>15.0</v>
      </c>
      <c r="AT38" s="27">
        <f t="shared" si="19"/>
        <v>0</v>
      </c>
    </row>
    <row r="39" hidden="1">
      <c r="A39" s="39"/>
      <c r="B39" s="40"/>
      <c r="C39" s="40"/>
      <c r="D39" s="41"/>
      <c r="E39" s="41"/>
      <c r="F39" s="41"/>
      <c r="G39" s="41"/>
      <c r="H39" s="41"/>
      <c r="I39" s="6"/>
      <c r="J39" s="24" t="b">
        <v>0</v>
      </c>
      <c r="K39" s="38" t="b">
        <v>0</v>
      </c>
      <c r="L39" s="38" t="b">
        <v>0</v>
      </c>
      <c r="M39" s="38" t="b">
        <v>0</v>
      </c>
      <c r="N39" s="38" t="b">
        <v>0</v>
      </c>
      <c r="O39" s="38" t="b">
        <v>0</v>
      </c>
      <c r="P39" s="38" t="b">
        <v>0</v>
      </c>
      <c r="Q39" s="38" t="b">
        <v>0</v>
      </c>
      <c r="R39" s="38" t="b">
        <v>0</v>
      </c>
      <c r="S39" s="38" t="b">
        <v>0</v>
      </c>
      <c r="T39" s="38" t="b">
        <v>0</v>
      </c>
      <c r="U39" s="38" t="b">
        <v>0</v>
      </c>
      <c r="V39" s="38" t="b">
        <v>0</v>
      </c>
      <c r="W39" s="38" t="b">
        <v>0</v>
      </c>
      <c r="X39" s="38" t="b">
        <v>0</v>
      </c>
      <c r="Y39" s="38" t="b">
        <v>0</v>
      </c>
      <c r="Z39" s="38" t="b">
        <v>0</v>
      </c>
      <c r="AA39" s="38" t="b">
        <v>0</v>
      </c>
      <c r="AB39" s="38" t="b">
        <v>0</v>
      </c>
      <c r="AC39" s="38" t="b">
        <v>0</v>
      </c>
      <c r="AD39" s="38" t="b">
        <v>0</v>
      </c>
      <c r="AE39" s="38" t="b">
        <v>0</v>
      </c>
      <c r="AF39" s="38" t="b">
        <v>0</v>
      </c>
      <c r="AG39" s="38" t="b">
        <v>0</v>
      </c>
      <c r="AH39" s="38" t="b">
        <v>0</v>
      </c>
      <c r="AI39" s="38" t="b">
        <v>0</v>
      </c>
      <c r="AJ39" s="38" t="b">
        <v>0</v>
      </c>
      <c r="AK39" s="38" t="b">
        <v>0</v>
      </c>
      <c r="AL39" s="38"/>
      <c r="AM39" s="38"/>
      <c r="AN39" s="38"/>
      <c r="AO39" s="25">
        <f t="shared" si="18"/>
        <v>0</v>
      </c>
      <c r="AQ39" s="25">
        <f>IFERROR(__xludf.DUMMYFUNCTION("if(iserror(match(true,J39:AN39,0)),0,len(index(split(substitute(substitute(join("","",J39:AN39)&amp;"","",""TRUE,"",""x""),""FALSE,"","",""),"",""),,counta(split(substitute(substitute(join("","",J39:AN39)&amp;"","",""TRUE,"",""x""),""FALSE,"","",""),"","")))))"),0.0)</f>
        <v>0</v>
      </c>
      <c r="AR39" s="25" t="str">
        <f>IFERROR(__xludf.DUMMYFUNCTION("arrayformula( if( sum(J39:AN39 + 0), max( len( split( concatenate( left(J39:AN39) ), ""F"" ) ) ), ""0"" ) )"),"0")</f>
        <v>0</v>
      </c>
      <c r="AS39" s="26">
        <v>15.0</v>
      </c>
      <c r="AT39" s="27">
        <f t="shared" si="19"/>
        <v>0</v>
      </c>
    </row>
    <row r="40" hidden="1">
      <c r="A40" s="39"/>
      <c r="B40" s="40"/>
      <c r="C40" s="40"/>
      <c r="D40" s="41"/>
      <c r="E40" s="41"/>
      <c r="F40" s="41"/>
      <c r="G40" s="41"/>
      <c r="H40" s="41"/>
      <c r="I40" s="6"/>
      <c r="J40" s="24" t="b">
        <v>0</v>
      </c>
      <c r="K40" s="38" t="b">
        <v>0</v>
      </c>
      <c r="L40" s="38" t="b">
        <v>0</v>
      </c>
      <c r="M40" s="38" t="b">
        <v>0</v>
      </c>
      <c r="N40" s="38" t="b">
        <v>0</v>
      </c>
      <c r="O40" s="38" t="b">
        <v>0</v>
      </c>
      <c r="P40" s="38" t="b">
        <v>0</v>
      </c>
      <c r="Q40" s="38" t="b">
        <v>0</v>
      </c>
      <c r="R40" s="38" t="b">
        <v>0</v>
      </c>
      <c r="S40" s="38" t="b">
        <v>0</v>
      </c>
      <c r="T40" s="38" t="b">
        <v>0</v>
      </c>
      <c r="U40" s="38" t="b">
        <v>0</v>
      </c>
      <c r="V40" s="38" t="b">
        <v>0</v>
      </c>
      <c r="W40" s="38" t="b">
        <v>0</v>
      </c>
      <c r="X40" s="38" t="b">
        <v>0</v>
      </c>
      <c r="Y40" s="38" t="b">
        <v>0</v>
      </c>
      <c r="Z40" s="38" t="b">
        <v>0</v>
      </c>
      <c r="AA40" s="38" t="b">
        <v>0</v>
      </c>
      <c r="AB40" s="38" t="b">
        <v>0</v>
      </c>
      <c r="AC40" s="38" t="b">
        <v>0</v>
      </c>
      <c r="AD40" s="38" t="b">
        <v>0</v>
      </c>
      <c r="AE40" s="38" t="b">
        <v>0</v>
      </c>
      <c r="AF40" s="38" t="b">
        <v>0</v>
      </c>
      <c r="AG40" s="38" t="b">
        <v>0</v>
      </c>
      <c r="AH40" s="38" t="b">
        <v>0</v>
      </c>
      <c r="AI40" s="38" t="b">
        <v>0</v>
      </c>
      <c r="AJ40" s="38" t="b">
        <v>0</v>
      </c>
      <c r="AK40" s="38" t="b">
        <v>0</v>
      </c>
      <c r="AL40" s="38"/>
      <c r="AM40" s="38"/>
      <c r="AN40" s="38"/>
      <c r="AO40" s="25">
        <f t="shared" si="18"/>
        <v>0</v>
      </c>
      <c r="AQ40" s="25">
        <f>IFERROR(__xludf.DUMMYFUNCTION("if(iserror(match(true,J40:AN40,0)),0,len(index(split(substitute(substitute(join("","",J40:AN40)&amp;"","",""TRUE,"",""x""),""FALSE,"","",""),"",""),,counta(split(substitute(substitute(join("","",J40:AN40)&amp;"","",""TRUE,"",""x""),""FALSE,"","",""),"","")))))"),0.0)</f>
        <v>0</v>
      </c>
      <c r="AR40" s="25" t="str">
        <f>IFERROR(__xludf.DUMMYFUNCTION("arrayformula( if( sum(J40:AN40 + 0), max( len( split( concatenate( left(J40:AN40) ), ""F"" ) ) ), ""0"" ) )"),"0")</f>
        <v>0</v>
      </c>
      <c r="AS40" s="26">
        <v>15.0</v>
      </c>
      <c r="AT40" s="27">
        <f t="shared" si="19"/>
        <v>0</v>
      </c>
    </row>
    <row r="41" hidden="1">
      <c r="A41" s="39"/>
      <c r="B41" s="40"/>
      <c r="C41" s="40"/>
      <c r="D41" s="41"/>
      <c r="E41" s="41"/>
      <c r="F41" s="41"/>
      <c r="G41" s="41"/>
      <c r="H41" s="41"/>
      <c r="I41" s="6"/>
      <c r="J41" s="24" t="b">
        <v>0</v>
      </c>
      <c r="K41" s="38" t="b">
        <v>0</v>
      </c>
      <c r="L41" s="38" t="b">
        <v>0</v>
      </c>
      <c r="M41" s="38" t="b">
        <v>0</v>
      </c>
      <c r="N41" s="38" t="b">
        <v>0</v>
      </c>
      <c r="O41" s="38" t="b">
        <v>0</v>
      </c>
      <c r="P41" s="38" t="b">
        <v>0</v>
      </c>
      <c r="Q41" s="38" t="b">
        <v>0</v>
      </c>
      <c r="R41" s="38" t="b">
        <v>0</v>
      </c>
      <c r="S41" s="38" t="b">
        <v>0</v>
      </c>
      <c r="T41" s="38" t="b">
        <v>0</v>
      </c>
      <c r="U41" s="38" t="b">
        <v>0</v>
      </c>
      <c r="V41" s="38" t="b">
        <v>0</v>
      </c>
      <c r="W41" s="38" t="b">
        <v>0</v>
      </c>
      <c r="X41" s="38" t="b">
        <v>0</v>
      </c>
      <c r="Y41" s="38" t="b">
        <v>0</v>
      </c>
      <c r="Z41" s="38" t="b">
        <v>0</v>
      </c>
      <c r="AA41" s="38" t="b">
        <v>0</v>
      </c>
      <c r="AB41" s="38" t="b">
        <v>0</v>
      </c>
      <c r="AC41" s="38" t="b">
        <v>0</v>
      </c>
      <c r="AD41" s="38" t="b">
        <v>0</v>
      </c>
      <c r="AE41" s="38" t="b">
        <v>0</v>
      </c>
      <c r="AF41" s="38" t="b">
        <v>0</v>
      </c>
      <c r="AG41" s="38" t="b">
        <v>0</v>
      </c>
      <c r="AH41" s="38" t="b">
        <v>0</v>
      </c>
      <c r="AI41" s="38" t="b">
        <v>0</v>
      </c>
      <c r="AJ41" s="38" t="b">
        <v>0</v>
      </c>
      <c r="AK41" s="38" t="b">
        <v>0</v>
      </c>
      <c r="AL41" s="38"/>
      <c r="AM41" s="38"/>
      <c r="AN41" s="38"/>
      <c r="AO41" s="25">
        <f t="shared" si="18"/>
        <v>0</v>
      </c>
      <c r="AQ41" s="25">
        <f>IFERROR(__xludf.DUMMYFUNCTION("if(iserror(match(true,J41:AN41,0)),0,len(index(split(substitute(substitute(join("","",J41:AN41)&amp;"","",""TRUE,"",""x""),""FALSE,"","",""),"",""),,counta(split(substitute(substitute(join("","",J41:AN41)&amp;"","",""TRUE,"",""x""),""FALSE,"","",""),"","")))))"),0.0)</f>
        <v>0</v>
      </c>
      <c r="AR41" s="25" t="str">
        <f>IFERROR(__xludf.DUMMYFUNCTION("arrayformula( if( sum(J41:AN41 + 0), max( len( split( concatenate( left(J41:AN41) ), ""F"" ) ) ), ""0"" ) )"),"0")</f>
        <v>0</v>
      </c>
      <c r="AS41" s="26">
        <v>15.0</v>
      </c>
      <c r="AT41" s="27">
        <f t="shared" si="19"/>
        <v>0</v>
      </c>
    </row>
    <row r="42" hidden="1">
      <c r="A42" s="39"/>
      <c r="B42" s="40"/>
      <c r="C42" s="40"/>
      <c r="D42" s="41"/>
      <c r="E42" s="41"/>
      <c r="F42" s="41"/>
      <c r="G42" s="41"/>
      <c r="H42" s="41"/>
      <c r="I42" s="6"/>
      <c r="J42" s="24" t="b">
        <v>0</v>
      </c>
      <c r="K42" s="38" t="b">
        <v>0</v>
      </c>
      <c r="L42" s="38" t="b">
        <v>0</v>
      </c>
      <c r="M42" s="38" t="b">
        <v>0</v>
      </c>
      <c r="N42" s="38" t="b">
        <v>0</v>
      </c>
      <c r="O42" s="38" t="b">
        <v>0</v>
      </c>
      <c r="P42" s="38" t="b">
        <v>0</v>
      </c>
      <c r="Q42" s="38" t="b">
        <v>0</v>
      </c>
      <c r="R42" s="38" t="b">
        <v>0</v>
      </c>
      <c r="S42" s="38" t="b">
        <v>0</v>
      </c>
      <c r="T42" s="38" t="b">
        <v>0</v>
      </c>
      <c r="U42" s="38" t="b">
        <v>0</v>
      </c>
      <c r="V42" s="38" t="b">
        <v>0</v>
      </c>
      <c r="W42" s="38" t="b">
        <v>0</v>
      </c>
      <c r="X42" s="38" t="b">
        <v>0</v>
      </c>
      <c r="Y42" s="38" t="b">
        <v>0</v>
      </c>
      <c r="Z42" s="38" t="b">
        <v>0</v>
      </c>
      <c r="AA42" s="38" t="b">
        <v>0</v>
      </c>
      <c r="AB42" s="38" t="b">
        <v>0</v>
      </c>
      <c r="AC42" s="38" t="b">
        <v>0</v>
      </c>
      <c r="AD42" s="38" t="b">
        <v>0</v>
      </c>
      <c r="AE42" s="38" t="b">
        <v>0</v>
      </c>
      <c r="AF42" s="38" t="b">
        <v>0</v>
      </c>
      <c r="AG42" s="38" t="b">
        <v>0</v>
      </c>
      <c r="AH42" s="38" t="b">
        <v>0</v>
      </c>
      <c r="AI42" s="38" t="b">
        <v>0</v>
      </c>
      <c r="AJ42" s="38" t="b">
        <v>0</v>
      </c>
      <c r="AK42" s="38" t="b">
        <v>0</v>
      </c>
      <c r="AL42" s="38"/>
      <c r="AM42" s="38"/>
      <c r="AN42" s="38"/>
      <c r="AO42" s="25">
        <f t="shared" si="18"/>
        <v>0</v>
      </c>
      <c r="AQ42" s="25">
        <f>IFERROR(__xludf.DUMMYFUNCTION("if(iserror(match(true,J42:AN42,0)),0,len(index(split(substitute(substitute(join("","",J42:AN42)&amp;"","",""TRUE,"",""x""),""FALSE,"","",""),"",""),,counta(split(substitute(substitute(join("","",J42:AN42)&amp;"","",""TRUE,"",""x""),""FALSE,"","",""),"","")))))"),0.0)</f>
        <v>0</v>
      </c>
      <c r="AR42" s="25" t="str">
        <f>IFERROR(__xludf.DUMMYFUNCTION("arrayformula( if( sum(J42:AN42 + 0), max( len( split( concatenate( left(J42:AN42) ), ""F"" ) ) ), ""0"" ) )"),"0")</f>
        <v>0</v>
      </c>
      <c r="AS42" s="26">
        <v>15.0</v>
      </c>
      <c r="AT42" s="27">
        <f t="shared" si="19"/>
        <v>0</v>
      </c>
    </row>
    <row r="43" hidden="1">
      <c r="A43" s="39"/>
      <c r="B43" s="40"/>
      <c r="C43" s="40"/>
      <c r="D43" s="41"/>
      <c r="E43" s="41"/>
      <c r="F43" s="41"/>
      <c r="G43" s="41"/>
      <c r="H43" s="41"/>
      <c r="I43" s="6"/>
      <c r="J43" s="24" t="b">
        <v>0</v>
      </c>
      <c r="K43" s="38" t="b">
        <v>0</v>
      </c>
      <c r="L43" s="38" t="b">
        <v>0</v>
      </c>
      <c r="M43" s="38" t="b">
        <v>0</v>
      </c>
      <c r="N43" s="38" t="b">
        <v>0</v>
      </c>
      <c r="O43" s="38" t="b">
        <v>0</v>
      </c>
      <c r="P43" s="38" t="b">
        <v>0</v>
      </c>
      <c r="Q43" s="38" t="b">
        <v>0</v>
      </c>
      <c r="R43" s="38" t="b">
        <v>0</v>
      </c>
      <c r="S43" s="38" t="b">
        <v>0</v>
      </c>
      <c r="T43" s="38" t="b">
        <v>0</v>
      </c>
      <c r="U43" s="38" t="b">
        <v>0</v>
      </c>
      <c r="V43" s="38" t="b">
        <v>0</v>
      </c>
      <c r="W43" s="38" t="b">
        <v>0</v>
      </c>
      <c r="X43" s="38" t="b">
        <v>0</v>
      </c>
      <c r="Y43" s="38" t="b">
        <v>0</v>
      </c>
      <c r="Z43" s="38" t="b">
        <v>0</v>
      </c>
      <c r="AA43" s="38" t="b">
        <v>0</v>
      </c>
      <c r="AB43" s="38" t="b">
        <v>0</v>
      </c>
      <c r="AC43" s="38" t="b">
        <v>0</v>
      </c>
      <c r="AD43" s="38" t="b">
        <v>0</v>
      </c>
      <c r="AE43" s="38" t="b">
        <v>0</v>
      </c>
      <c r="AF43" s="38" t="b">
        <v>0</v>
      </c>
      <c r="AG43" s="38" t="b">
        <v>0</v>
      </c>
      <c r="AH43" s="38" t="b">
        <v>0</v>
      </c>
      <c r="AI43" s="38" t="b">
        <v>0</v>
      </c>
      <c r="AJ43" s="38" t="b">
        <v>0</v>
      </c>
      <c r="AK43" s="38" t="b">
        <v>0</v>
      </c>
      <c r="AL43" s="38"/>
      <c r="AM43" s="38"/>
      <c r="AN43" s="38"/>
      <c r="AO43" s="25">
        <f t="shared" si="18"/>
        <v>0</v>
      </c>
      <c r="AQ43" s="25">
        <f>IFERROR(__xludf.DUMMYFUNCTION("if(iserror(match(true,J43:AN43,0)),0,len(index(split(substitute(substitute(join("","",J43:AN43)&amp;"","",""TRUE,"",""x""),""FALSE,"","",""),"",""),,counta(split(substitute(substitute(join("","",J43:AN43)&amp;"","",""TRUE,"",""x""),""FALSE,"","",""),"","")))))"),0.0)</f>
        <v>0</v>
      </c>
      <c r="AR43" s="25" t="str">
        <f>IFERROR(__xludf.DUMMYFUNCTION("arrayformula( if( sum(J43:AN43 + 0), max( len( split( concatenate( left(J43:AN43) ), ""F"" ) ) ), ""0"" ) )"),"0")</f>
        <v>0</v>
      </c>
      <c r="AS43" s="26">
        <v>15.0</v>
      </c>
      <c r="AT43" s="27">
        <f t="shared" si="19"/>
        <v>0</v>
      </c>
    </row>
    <row r="44" hidden="1">
      <c r="A44" s="39"/>
      <c r="B44" s="40"/>
      <c r="C44" s="40"/>
      <c r="D44" s="41"/>
      <c r="E44" s="41"/>
      <c r="F44" s="41"/>
      <c r="G44" s="41"/>
      <c r="H44" s="41"/>
      <c r="I44" s="6"/>
      <c r="J44" s="24" t="b">
        <v>0</v>
      </c>
      <c r="K44" s="38" t="b">
        <v>0</v>
      </c>
      <c r="L44" s="38" t="b">
        <v>0</v>
      </c>
      <c r="M44" s="38" t="b">
        <v>0</v>
      </c>
      <c r="N44" s="38" t="b">
        <v>0</v>
      </c>
      <c r="O44" s="38" t="b">
        <v>0</v>
      </c>
      <c r="P44" s="38" t="b">
        <v>0</v>
      </c>
      <c r="Q44" s="38" t="b">
        <v>0</v>
      </c>
      <c r="R44" s="38" t="b">
        <v>0</v>
      </c>
      <c r="S44" s="38" t="b">
        <v>0</v>
      </c>
      <c r="T44" s="38" t="b">
        <v>0</v>
      </c>
      <c r="U44" s="38" t="b">
        <v>0</v>
      </c>
      <c r="V44" s="38" t="b">
        <v>0</v>
      </c>
      <c r="W44" s="38" t="b">
        <v>0</v>
      </c>
      <c r="X44" s="38" t="b">
        <v>0</v>
      </c>
      <c r="Y44" s="38" t="b">
        <v>0</v>
      </c>
      <c r="Z44" s="38" t="b">
        <v>0</v>
      </c>
      <c r="AA44" s="38" t="b">
        <v>0</v>
      </c>
      <c r="AB44" s="38" t="b">
        <v>0</v>
      </c>
      <c r="AC44" s="38" t="b">
        <v>0</v>
      </c>
      <c r="AD44" s="38" t="b">
        <v>0</v>
      </c>
      <c r="AE44" s="38" t="b">
        <v>0</v>
      </c>
      <c r="AF44" s="38" t="b">
        <v>0</v>
      </c>
      <c r="AG44" s="38" t="b">
        <v>0</v>
      </c>
      <c r="AH44" s="38" t="b">
        <v>0</v>
      </c>
      <c r="AI44" s="38" t="b">
        <v>0</v>
      </c>
      <c r="AJ44" s="38" t="b">
        <v>0</v>
      </c>
      <c r="AK44" s="38" t="b">
        <v>0</v>
      </c>
      <c r="AL44" s="38"/>
      <c r="AM44" s="38"/>
      <c r="AN44" s="38"/>
      <c r="AO44" s="25">
        <f t="shared" si="18"/>
        <v>0</v>
      </c>
      <c r="AQ44" s="25">
        <f>IFERROR(__xludf.DUMMYFUNCTION("if(iserror(match(true,J44:AN44,0)),0,len(index(split(substitute(substitute(join("","",J44:AN44)&amp;"","",""TRUE,"",""x""),""FALSE,"","",""),"",""),,counta(split(substitute(substitute(join("","",J44:AN44)&amp;"","",""TRUE,"",""x""),""FALSE,"","",""),"","")))))"),0.0)</f>
        <v>0</v>
      </c>
      <c r="AR44" s="25" t="str">
        <f>IFERROR(__xludf.DUMMYFUNCTION("arrayformula( if( sum(J44:AN44 + 0), max( len( split( concatenate( left(J44:AN44) ), ""F"" ) ) ), ""0"" ) )"),"0")</f>
        <v>0</v>
      </c>
      <c r="AS44" s="26">
        <v>15.0</v>
      </c>
      <c r="AT44" s="27">
        <f t="shared" si="19"/>
        <v>0</v>
      </c>
    </row>
    <row r="45" hidden="1">
      <c r="A45" s="39"/>
      <c r="B45" s="40"/>
      <c r="C45" s="40"/>
      <c r="D45" s="41"/>
      <c r="E45" s="41"/>
      <c r="F45" s="41"/>
      <c r="G45" s="41"/>
      <c r="H45" s="41"/>
      <c r="I45" s="6"/>
      <c r="J45" s="24" t="b">
        <v>0</v>
      </c>
      <c r="K45" s="38" t="b">
        <v>0</v>
      </c>
      <c r="L45" s="38" t="b">
        <v>0</v>
      </c>
      <c r="M45" s="38" t="b">
        <v>0</v>
      </c>
      <c r="N45" s="38" t="b">
        <v>0</v>
      </c>
      <c r="O45" s="38" t="b">
        <v>0</v>
      </c>
      <c r="P45" s="38" t="b">
        <v>0</v>
      </c>
      <c r="Q45" s="38" t="b">
        <v>0</v>
      </c>
      <c r="R45" s="38" t="b">
        <v>0</v>
      </c>
      <c r="S45" s="38" t="b">
        <v>0</v>
      </c>
      <c r="T45" s="38" t="b">
        <v>0</v>
      </c>
      <c r="U45" s="38" t="b">
        <v>0</v>
      </c>
      <c r="V45" s="38" t="b">
        <v>0</v>
      </c>
      <c r="W45" s="38" t="b">
        <v>0</v>
      </c>
      <c r="X45" s="38" t="b">
        <v>0</v>
      </c>
      <c r="Y45" s="38" t="b">
        <v>0</v>
      </c>
      <c r="Z45" s="38" t="b">
        <v>0</v>
      </c>
      <c r="AA45" s="38" t="b">
        <v>0</v>
      </c>
      <c r="AB45" s="38" t="b">
        <v>0</v>
      </c>
      <c r="AC45" s="38" t="b">
        <v>0</v>
      </c>
      <c r="AD45" s="38" t="b">
        <v>0</v>
      </c>
      <c r="AE45" s="38" t="b">
        <v>0</v>
      </c>
      <c r="AF45" s="38" t="b">
        <v>0</v>
      </c>
      <c r="AG45" s="38" t="b">
        <v>0</v>
      </c>
      <c r="AH45" s="38" t="b">
        <v>0</v>
      </c>
      <c r="AI45" s="38" t="b">
        <v>0</v>
      </c>
      <c r="AJ45" s="38" t="b">
        <v>0</v>
      </c>
      <c r="AK45" s="38" t="b">
        <v>0</v>
      </c>
      <c r="AL45" s="38"/>
      <c r="AM45" s="38"/>
      <c r="AN45" s="38"/>
      <c r="AO45" s="25">
        <f t="shared" si="18"/>
        <v>0</v>
      </c>
      <c r="AQ45" s="25">
        <f>IFERROR(__xludf.DUMMYFUNCTION("if(iserror(match(true,J45:AN45,0)),0,len(index(split(substitute(substitute(join("","",J45:AN45)&amp;"","",""TRUE,"",""x""),""FALSE,"","",""),"",""),,counta(split(substitute(substitute(join("","",J45:AN45)&amp;"","",""TRUE,"",""x""),""FALSE,"","",""),"","")))))"),0.0)</f>
        <v>0</v>
      </c>
      <c r="AR45" s="25" t="str">
        <f>IFERROR(__xludf.DUMMYFUNCTION("arrayformula( if( sum(J45:AN45 + 0), max( len( split( concatenate( left(J45:AN45) ), ""F"" ) ) ), ""0"" ) )"),"0")</f>
        <v>0</v>
      </c>
      <c r="AS45" s="26">
        <v>15.0</v>
      </c>
      <c r="AT45" s="27">
        <f t="shared" si="19"/>
        <v>0</v>
      </c>
    </row>
    <row r="46">
      <c r="A46" s="42"/>
      <c r="B46" s="42"/>
      <c r="C46" s="42"/>
      <c r="D46" s="42"/>
      <c r="E46" s="42"/>
      <c r="F46" s="43"/>
      <c r="G46" s="43"/>
      <c r="H46" s="44"/>
      <c r="I46" s="32"/>
      <c r="J46" s="24" t="str">
        <f t="array" ref="J46">IF(COUNTIF(J26:J45, "TRUE") = 1, Setup!$E$4, 
IF(COUNTIF(J26:J45, "TRUE") = 0, Setup!$E$3,
IF(COUNTIF(J26:J45, "TRUE") = 2, Setup!$E$5, 
IF(COUNTIF(J26:J45, "TRUE") = 3, Setup!$E$6, 
IF(COUNTIF(J26:J45, "TRUE") = 4, Setup!$E$7, 
IF(COUNTIF(J26:J45, "TRUE") = 5, Setup!$E$8, 
IF(COUNTIF(J26:J45, "TRUE") &gt;= 6, Setup!$E$9)))
))))</f>
        <v/>
      </c>
      <c r="K46" s="24" t="str">
        <f t="array" ref="K46">IF(COUNTIF(K26:K45, "TRUE") = 1, Setup!$E$4, 
IF(COUNTIF(K26:K45, "TRUE") = 0, Setup!$E$3,
IF(COUNTIF(K26:K45, "TRUE") = 2, Setup!$E$5, 
IF(COUNTIF(K26:K45, "TRUE") = 3, Setup!$E$6, 
IF(COUNTIF(K26:K45, "TRUE") = 4, Setup!$E$7, 
IF(COUNTIF(K26:K45, "TRUE") = 5, Setup!$E$8, 
IF(COUNTIF(K26:K45, "TRUE") &gt;= 6, Setup!$E$9)))
))))</f>
        <v/>
      </c>
      <c r="L46" s="24" t="str">
        <f t="array" ref="L46">IF(COUNTIF(L26:L45, "TRUE") = 1, Setup!$E$4, 
IF(COUNTIF(L26:L45, "TRUE") = 0, Setup!$E$3,
IF(COUNTIF(L26:L45, "TRUE") = 2, Setup!$E$5, 
IF(COUNTIF(L26:L45, "TRUE") = 3, Setup!$E$6, 
IF(COUNTIF(L26:L45, "TRUE") = 4, Setup!$E$7, 
IF(COUNTIF(L26:L45, "TRUE") = 5, Setup!$E$8, 
IF(COUNTIF(L26:L45, "TRUE") &gt;= 6, Setup!$E$9)))
))))</f>
        <v/>
      </c>
      <c r="M46" s="24" t="str">
        <f t="array" ref="M46">IF(COUNTIF(M26:M45, "TRUE") = 1, Setup!$E$4, 
IF(COUNTIF(M26:M45, "TRUE") = 0, Setup!$E$3,
IF(COUNTIF(M26:M45, "TRUE") = 2, Setup!$E$5, 
IF(COUNTIF(M26:M45, "TRUE") = 3, Setup!$E$6, 
IF(COUNTIF(M26:M45, "TRUE") = 4, Setup!$E$7, 
IF(COUNTIF(M26:M45, "TRUE") = 5, Setup!$E$8, 
IF(COUNTIF(M26:M45, "TRUE") &gt;= 6, Setup!$E$9)))
))))</f>
        <v/>
      </c>
      <c r="N46" s="24" t="str">
        <f t="array" ref="N46">IF(COUNTIF(N26:N45, "TRUE") = 1, Setup!$E$4, 
IF(COUNTIF(N26:N45, "TRUE") = 0, Setup!$E$3,
IF(COUNTIF(N26:N45, "TRUE") = 2, Setup!$E$5, 
IF(COUNTIF(N26:N45, "TRUE") = 3, Setup!$E$6, 
IF(COUNTIF(N26:N45, "TRUE") = 4, Setup!$E$7, 
IF(COUNTIF(N26:N45, "TRUE") = 5, Setup!$E$8, 
IF(COUNTIF(N26:N45, "TRUE") &gt;= 6, Setup!$E$9)))
))))</f>
        <v/>
      </c>
      <c r="O46" s="24" t="str">
        <f t="array" ref="O46">IF(COUNTIF(O26:O45, "TRUE") = 1, Setup!$E$4, 
IF(COUNTIF(O26:O45, "TRUE") = 0, Setup!$E$3,
IF(COUNTIF(O26:O45, "TRUE") = 2, Setup!$E$5, 
IF(COUNTIF(O26:O45, "TRUE") = 3, Setup!$E$6, 
IF(COUNTIF(O26:O45, "TRUE") = 4, Setup!$E$7, 
IF(COUNTIF(O26:O45, "TRUE") = 5, Setup!$E$8, 
IF(COUNTIF(O26:O45, "TRUE") &gt;= 6, Setup!$E$9)))
))))</f>
        <v/>
      </c>
      <c r="P46" s="24" t="str">
        <f t="array" ref="P46">IF(COUNTIF(P26:P45, "TRUE") = 1, Setup!$E$4, 
IF(COUNTIF(P26:P45, "TRUE") = 0, Setup!$E$3,
IF(COUNTIF(P26:P45, "TRUE") = 2, Setup!$E$5, 
IF(COUNTIF(P26:P45, "TRUE") = 3, Setup!$E$6, 
IF(COUNTIF(P26:P45, "TRUE") = 4, Setup!$E$7, 
IF(COUNTIF(P26:P45, "TRUE") = 5, Setup!$E$8, 
IF(COUNTIF(P26:P45, "TRUE") &gt;= 6, Setup!$E$9)))
))))</f>
        <v/>
      </c>
      <c r="Q46" s="24" t="str">
        <f t="array" ref="Q46">IF(COUNTIF(Q26:Q45, "TRUE") = 1, Setup!$E$4, 
IF(COUNTIF(Q26:Q45, "TRUE") = 0, Setup!$E$3,
IF(COUNTIF(Q26:Q45, "TRUE") = 2, Setup!$E$5, 
IF(COUNTIF(Q26:Q45, "TRUE") = 3, Setup!$E$6, 
IF(COUNTIF(Q26:Q45, "TRUE") = 4, Setup!$E$7, 
IF(COUNTIF(Q26:Q45, "TRUE") = 5, Setup!$E$8, 
IF(COUNTIF(Q26:Q45, "TRUE") &gt;= 6, Setup!$E$9)))
))))</f>
        <v/>
      </c>
      <c r="R46" s="24" t="str">
        <f t="array" ref="R46">IF(COUNTIF(R26:R45, "TRUE") = 1, Setup!$E$4, 
IF(COUNTIF(R26:R45, "TRUE") = 0, Setup!$E$3,
IF(COUNTIF(R26:R45, "TRUE") = 2, Setup!$E$5, 
IF(COUNTIF(R26:R45, "TRUE") = 3, Setup!$E$6, 
IF(COUNTIF(R26:R45, "TRUE") = 4, Setup!$E$7, 
IF(COUNTIF(R26:R45, "TRUE") = 5, Setup!$E$8, 
IF(COUNTIF(R26:R45, "TRUE") &gt;= 6, Setup!$E$9)))
))))</f>
        <v/>
      </c>
      <c r="S46" s="24" t="str">
        <f t="array" ref="S46">IF(COUNTIF(S26:S45, "TRUE") = 1, Setup!$E$4, 
IF(COUNTIF(S26:S45, "TRUE") = 0, Setup!$E$3,
IF(COUNTIF(S26:S45, "TRUE") = 2, Setup!$E$5, 
IF(COUNTIF(S26:S45, "TRUE") = 3, Setup!$E$6, 
IF(COUNTIF(S26:S45, "TRUE") = 4, Setup!$E$7, 
IF(COUNTIF(S26:S45, "TRUE") = 5, Setup!$E$8, 
IF(COUNTIF(S26:S45, "TRUE") &gt;= 6, Setup!$E$9)))
))))</f>
        <v/>
      </c>
      <c r="T46" s="24" t="str">
        <f t="array" ref="T46">IF(COUNTIF(T26:T45, "TRUE") = 1, Setup!$E$4, 
IF(COUNTIF(T26:T45, "TRUE") = 0, Setup!$E$3,
IF(COUNTIF(T26:T45, "TRUE") = 2, Setup!$E$5, 
IF(COUNTIF(T26:T45, "TRUE") = 3, Setup!$E$6, 
IF(COUNTIF(T26:T45, "TRUE") = 4, Setup!$E$7, 
IF(COUNTIF(T26:T45, "TRUE") = 5, Setup!$E$8, 
IF(COUNTIF(T26:T45, "TRUE") &gt;= 6, Setup!$E$9)))
))))</f>
        <v/>
      </c>
      <c r="U46" s="24" t="str">
        <f t="array" ref="U46">IF(COUNTIF(U26:U45, "TRUE") = 1, Setup!$E$4, 
IF(COUNTIF(U26:U45, "TRUE") = 0, Setup!$E$3,
IF(COUNTIF(U26:U45, "TRUE") = 2, Setup!$E$5, 
IF(COUNTIF(U26:U45, "TRUE") = 3, Setup!$E$6, 
IF(COUNTIF(U26:U45, "TRUE") = 4, Setup!$E$7, 
IF(COUNTIF(U26:U45, "TRUE") = 5, Setup!$E$8, 
IF(COUNTIF(U26:U45, "TRUE") &gt;= 6, Setup!$E$9)))
))))</f>
        <v/>
      </c>
      <c r="V46" s="24" t="str">
        <f t="array" ref="V46">IF(COUNTIF(V26:V45, "TRUE") = 1, Setup!$E$4, 
IF(COUNTIF(V26:V45, "TRUE") = 0, Setup!$E$3,
IF(COUNTIF(V26:V45, "TRUE") = 2, Setup!$E$5, 
IF(COUNTIF(V26:V45, "TRUE") = 3, Setup!$E$6, 
IF(COUNTIF(V26:V45, "TRUE") = 4, Setup!$E$7, 
IF(COUNTIF(V26:V45, "TRUE") = 5, Setup!$E$8, 
IF(COUNTIF(V26:V45, "TRUE") &gt;= 6, Setup!$E$9)))
))))</f>
        <v/>
      </c>
      <c r="W46" s="24" t="str">
        <f t="array" ref="W46">IF(COUNTIF(W26:W45, "TRUE") = 1, Setup!$E$4, 
IF(COUNTIF(W26:W45, "TRUE") = 0, Setup!$E$3,
IF(COUNTIF(W26:W45, "TRUE") = 2, Setup!$E$5, 
IF(COUNTIF(W26:W45, "TRUE") = 3, Setup!$E$6, 
IF(COUNTIF(W26:W45, "TRUE") = 4, Setup!$E$7, 
IF(COUNTIF(W26:W45, "TRUE") = 5, Setup!$E$8, 
IF(COUNTIF(W26:W45, "TRUE") &gt;= 6, Setup!$E$9)))
))))</f>
        <v/>
      </c>
      <c r="X46" s="24" t="str">
        <f t="array" ref="X46">IF(COUNTIF(X26:X45, "TRUE") = 1, Setup!$E$4, 
IF(COUNTIF(X26:X45, "TRUE") = 0, Setup!$E$3,
IF(COUNTIF(X26:X45, "TRUE") = 2, Setup!$E$5, 
IF(COUNTIF(X26:X45, "TRUE") = 3, Setup!$E$6, 
IF(COUNTIF(X26:X45, "TRUE") = 4, Setup!$E$7, 
IF(COUNTIF(X26:X45, "TRUE") = 5, Setup!$E$8, 
IF(COUNTIF(X26:X45, "TRUE") &gt;= 6, Setup!$E$9)))
))))</f>
        <v/>
      </c>
      <c r="Y46" s="24" t="str">
        <f t="array" ref="Y46">IF(COUNTIF(Y26:Y45, "TRUE") = 1, Setup!$E$4, 
IF(COUNTIF(Y26:Y45, "TRUE") = 0, Setup!$E$3,
IF(COUNTIF(Y26:Y45, "TRUE") = 2, Setup!$E$5, 
IF(COUNTIF(Y26:Y45, "TRUE") = 3, Setup!$E$6, 
IF(COUNTIF(Y26:Y45, "TRUE") = 4, Setup!$E$7, 
IF(COUNTIF(Y26:Y45, "TRUE") = 5, Setup!$E$8, 
IF(COUNTIF(Y26:Y45, "TRUE") &gt;= 6, Setup!$E$9)))
))))</f>
        <v/>
      </c>
      <c r="Z46" s="24" t="str">
        <f t="array" ref="Z46">IF(COUNTIF(Z26:Z45, "TRUE") = 1, Setup!$E$4, 
IF(COUNTIF(Z26:Z45, "TRUE") = 0, Setup!$E$3,
IF(COUNTIF(Z26:Z45, "TRUE") = 2, Setup!$E$5, 
IF(COUNTIF(Z26:Z45, "TRUE") = 3, Setup!$E$6, 
IF(COUNTIF(Z26:Z45, "TRUE") = 4, Setup!$E$7, 
IF(COUNTIF(Z26:Z45, "TRUE") = 5, Setup!$E$8, 
IF(COUNTIF(Z26:Z45, "TRUE") &gt;= 6, Setup!$E$9)))
))))</f>
        <v/>
      </c>
      <c r="AA46" s="24" t="str">
        <f t="array" ref="AA46">IF(COUNTIF(AA26:AA45, "TRUE") = 1, Setup!$E$4, 
IF(COUNTIF(AA26:AA45, "TRUE") = 0, Setup!$E$3,
IF(COUNTIF(AA26:AA45, "TRUE") = 2, Setup!$E$5, 
IF(COUNTIF(AA26:AA45, "TRUE") = 3, Setup!$E$6, 
IF(COUNTIF(AA26:AA45, "TRUE") = 4, Setup!$E$7, 
IF(COUNTIF(AA26:AA45, "TRUE") = 5, Setup!$E$8, 
IF(COUNTIF(AA26:AA45, "TRUE") &gt;= 6, Setup!$E$9)))
))))</f>
        <v/>
      </c>
      <c r="AB46" s="24" t="str">
        <f t="array" ref="AB46">IF(COUNTIF(AB26:AB45, "TRUE") = 1, Setup!$E$4, 
IF(COUNTIF(AB26:AB45, "TRUE") = 0, Setup!$E$3,
IF(COUNTIF(AB26:AB45, "TRUE") = 2, Setup!$E$5, 
IF(COUNTIF(AB26:AB45, "TRUE") = 3, Setup!$E$6, 
IF(COUNTIF(AB26:AB45, "TRUE") = 4, Setup!$E$7, 
IF(COUNTIF(AB26:AB45, "TRUE") = 5, Setup!$E$8, 
IF(COUNTIF(AB26:AB45, "TRUE") &gt;= 6, Setup!$E$9)))
))))</f>
        <v/>
      </c>
      <c r="AC46" s="24" t="str">
        <f t="array" ref="AC46">IF(COUNTIF(AC26:AC45, "TRUE") = 1, Setup!$E$4, 
IF(COUNTIF(AC26:AC45, "TRUE") = 0, Setup!$E$3,
IF(COUNTIF(AC26:AC45, "TRUE") = 2, Setup!$E$5, 
IF(COUNTIF(AC26:AC45, "TRUE") = 3, Setup!$E$6, 
IF(COUNTIF(AC26:AC45, "TRUE") = 4, Setup!$E$7, 
IF(COUNTIF(AC26:AC45, "TRUE") = 5, Setup!$E$8, 
IF(COUNTIF(AC26:AC45, "TRUE") &gt;= 6, Setup!$E$9)))
))))</f>
        <v/>
      </c>
      <c r="AD46" s="24" t="str">
        <f t="array" ref="AD46">IF(COUNTIF(AD26:AD45, "TRUE") = 1, Setup!$E$4, 
IF(COUNTIF(AD26:AD45, "TRUE") = 0, Setup!$E$3,
IF(COUNTIF(AD26:AD45, "TRUE") = 2, Setup!$E$5, 
IF(COUNTIF(AD26:AD45, "TRUE") = 3, Setup!$E$6, 
IF(COUNTIF(AD26:AD45, "TRUE") = 4, Setup!$E$7, 
IF(COUNTIF(AD26:AD45, "TRUE") = 5, Setup!$E$8, 
IF(COUNTIF(AD26:AD45, "TRUE") &gt;= 6, Setup!$E$9)))
))))</f>
        <v/>
      </c>
      <c r="AE46" s="24" t="str">
        <f t="array" ref="AE46">IF(COUNTIF(AE26:AE45, "TRUE") = 1, Setup!$E$4, 
IF(COUNTIF(AE26:AE45, "TRUE") = 0, Setup!$E$3,
IF(COUNTIF(AE26:AE45, "TRUE") = 2, Setup!$E$5, 
IF(COUNTIF(AE26:AE45, "TRUE") = 3, Setup!$E$6, 
IF(COUNTIF(AE26:AE45, "TRUE") = 4, Setup!$E$7, 
IF(COUNTIF(AE26:AE45, "TRUE") = 5, Setup!$E$8, 
IF(COUNTIF(AE26:AE45, "TRUE") &gt;= 6, Setup!$E$9)))
))))</f>
        <v/>
      </c>
      <c r="AF46" s="24" t="str">
        <f t="array" ref="AF46">IF(COUNTIF(AF26:AF45, "TRUE") = 1, Setup!$E$4, 
IF(COUNTIF(AF26:AF45, "TRUE") = 0, Setup!$E$3,
IF(COUNTIF(AF26:AF45, "TRUE") = 2, Setup!$E$5, 
IF(COUNTIF(AF26:AF45, "TRUE") = 3, Setup!$E$6, 
IF(COUNTIF(AF26:AF45, "TRUE") = 4, Setup!$E$7, 
IF(COUNTIF(AF26:AF45, "TRUE") = 5, Setup!$E$8, 
IF(COUNTIF(AF26:AF45, "TRUE") &gt;= 6, Setup!$E$9)))
))))</f>
        <v/>
      </c>
      <c r="AG46" s="24" t="str">
        <f t="array" ref="AG46">IF(COUNTIF(AG26:AG45, "TRUE") = 1, Setup!$E$4, 
IF(COUNTIF(AG26:AG45, "TRUE") = 0, Setup!$E$3,
IF(COUNTIF(AG26:AG45, "TRUE") = 2, Setup!$E$5, 
IF(COUNTIF(AG26:AG45, "TRUE") = 3, Setup!$E$6, 
IF(COUNTIF(AG26:AG45, "TRUE") = 4, Setup!$E$7, 
IF(COUNTIF(AG26:AG45, "TRUE") = 5, Setup!$E$8, 
IF(COUNTIF(AG26:AG45, "TRUE") &gt;= 6, Setup!$E$9)))
))))</f>
        <v/>
      </c>
      <c r="AH46" s="24" t="str">
        <f t="array" ref="AH46">IF(COUNTIF(AH26:AH45, "TRUE") = 1, Setup!$E$4, 
IF(COUNTIF(AH26:AH45, "TRUE") = 0, Setup!$E$3,
IF(COUNTIF(AH26:AH45, "TRUE") = 2, Setup!$E$5, 
IF(COUNTIF(AH26:AH45, "TRUE") = 3, Setup!$E$6, 
IF(COUNTIF(AH26:AH45, "TRUE") = 4, Setup!$E$7, 
IF(COUNTIF(AH26:AH45, "TRUE") = 5, Setup!$E$8, 
IF(COUNTIF(AH26:AH45, "TRUE") &gt;= 6, Setup!$E$9)))
))))</f>
        <v/>
      </c>
      <c r="AI46" s="24" t="str">
        <f t="array" ref="AI46">IF(COUNTIF(AI26:AI45, "TRUE") = 1, Setup!$E$4, 
IF(COUNTIF(AI26:AI45, "TRUE") = 0, Setup!$E$3,
IF(COUNTIF(AI26:AI45, "TRUE") = 2, Setup!$E$5, 
IF(COUNTIF(AI26:AI45, "TRUE") = 3, Setup!$E$6, 
IF(COUNTIF(AI26:AI45, "TRUE") = 4, Setup!$E$7, 
IF(COUNTIF(AI26:AI45, "TRUE") = 5, Setup!$E$8, 
IF(COUNTIF(AI26:AI45, "TRUE") &gt;= 6, Setup!$E$9)))
))))</f>
        <v/>
      </c>
      <c r="AJ46" s="24" t="str">
        <f t="array" ref="AJ46">IF(COUNTIF(AJ26:AJ45, "TRUE") = 1, Setup!$E$4, 
IF(COUNTIF(AJ26:AJ45, "TRUE") = 0, Setup!$E$3,
IF(COUNTIF(AJ26:AJ45, "TRUE") = 2, Setup!$E$5, 
IF(COUNTIF(AJ26:AJ45, "TRUE") = 3, Setup!$E$6, 
IF(COUNTIF(AJ26:AJ45, "TRUE") = 4, Setup!$E$7, 
IF(COUNTIF(AJ26:AJ45, "TRUE") = 5, Setup!$E$8, 
IF(COUNTIF(AJ26:AJ45, "TRUE") &gt;= 6, Setup!$E$9)))
))))</f>
        <v/>
      </c>
      <c r="AK46" s="24" t="str">
        <f t="array" ref="AK46">IF(COUNTIF(AK26:AK45, "TRUE") = 1, Setup!$E$4, 
IF(COUNTIF(AK26:AK45, "TRUE") = 0, Setup!$E$3,
IF(COUNTIF(AK26:AK45, "TRUE") = 2, Setup!$E$5, 
IF(COUNTIF(AK26:AK45, "TRUE") = 3, Setup!$E$6, 
IF(COUNTIF(AK26:AK45, "TRUE") = 4, Setup!$E$7, 
IF(COUNTIF(AK26:AK45, "TRUE") = 5, Setup!$E$8, 
IF(COUNTIF(AK26:AK45, "TRUE") &gt;= 6, Setup!$E$9)))
))))</f>
        <v/>
      </c>
      <c r="AL46" s="24" t="str">
        <f t="array" ref="AL46">IF(COUNTIF(AL26:AL31, "TRUE") = 1, Setup!$E$4, 
IF(COUNTIF(AL26:AL31, "TRUE") = 0, Setup!$E$3,
IF(COUNTIF(AL26:AL31, "TRUE") = 2, Setup!$E$5, 
IF(COUNTIF(AL26:AL31, "TRUE") = 3, Setup!$E$6, 
IF(COUNTIF(AL26:AL31, "TRUE") = 4, Setup!$E$7, 
IF(COUNTIF(AL26:AL31, "TRUE") = 5, Setup!$E$8, 
IF(COUNTIF(AL26:AL31, "TRUE") = 6, Setup!$E$9)))
))))</f>
        <v/>
      </c>
      <c r="AM46" s="24" t="str">
        <f t="array" ref="AM46">IF(COUNTIF(AM26:AM31, "TRUE") = 1, Setup!$E$4, 
IF(COUNTIF(AM26:AM31, "TRUE") = 0, Setup!$E$3,
IF(COUNTIF(AM26:AM31, "TRUE") = 2, Setup!$E$5, 
IF(COUNTIF(AM26:AM31, "TRUE") = 3, Setup!$E$6, 
IF(COUNTIF(AM26:AM31, "TRUE") = 4, Setup!$E$7, 
IF(COUNTIF(AM26:AM31, "TRUE") = 5, Setup!$E$8, 
IF(COUNTIF(AM26:AM31, "TRUE") = 6, Setup!$E$9)))
))))</f>
        <v/>
      </c>
      <c r="AN46" s="24" t="str">
        <f t="array" ref="AN46">IF(COUNTIF(AN26:AN31, "TRUE") = 1, Setup!$E$4, 
IF(COUNTIF(AN26:AN31, "TRUE") = 0, Setup!$E$3,
IF(COUNTIF(AN26:AN31, "TRUE") = 2, Setup!$E$5, 
IF(COUNTIF(AN26:AN31, "TRUE") = 3, Setup!$E$6, 
IF(COUNTIF(AN26:AN31, "TRUE") = 4, Setup!$E$7, 
IF(COUNTIF(AN26:AN31, "TRUE") = 5, Setup!$E$8, 
IF(COUNTIF(AN26:AN31, "TRUE") = 6, Setup!$E$9)))
))))</f>
        <v/>
      </c>
      <c r="AO46" s="38"/>
      <c r="AQ46" s="38"/>
      <c r="AR46" s="38"/>
      <c r="AS46" s="38"/>
      <c r="AT46" s="38"/>
    </row>
    <row r="47">
      <c r="A47" s="13" t="s">
        <v>38</v>
      </c>
      <c r="B47" s="13" t="s">
        <v>39</v>
      </c>
      <c r="I47" s="15" t="s">
        <v>40</v>
      </c>
      <c r="J47" s="16">
        <f t="array" ref="J47">DATE($D$1, MATCH(I47, {"January","February","March","April","May","June","July","August","September","October","November","December"}, 0), 1)</f>
        <v>46082</v>
      </c>
      <c r="K47" s="16">
        <f t="shared" ref="K47:AN47" si="27">J47+1</f>
        <v>46083</v>
      </c>
      <c r="L47" s="16">
        <f t="shared" si="27"/>
        <v>46084</v>
      </c>
      <c r="M47" s="16">
        <f t="shared" si="27"/>
        <v>46085</v>
      </c>
      <c r="N47" s="16">
        <f t="shared" si="27"/>
        <v>46086</v>
      </c>
      <c r="O47" s="16">
        <f t="shared" si="27"/>
        <v>46087</v>
      </c>
      <c r="P47" s="16">
        <f t="shared" si="27"/>
        <v>46088</v>
      </c>
      <c r="Q47" s="16">
        <f t="shared" si="27"/>
        <v>46089</v>
      </c>
      <c r="R47" s="16">
        <f t="shared" si="27"/>
        <v>46090</v>
      </c>
      <c r="S47" s="16">
        <f t="shared" si="27"/>
        <v>46091</v>
      </c>
      <c r="T47" s="16">
        <f t="shared" si="27"/>
        <v>46092</v>
      </c>
      <c r="U47" s="16">
        <f t="shared" si="27"/>
        <v>46093</v>
      </c>
      <c r="V47" s="16">
        <f t="shared" si="27"/>
        <v>46094</v>
      </c>
      <c r="W47" s="16">
        <f t="shared" si="27"/>
        <v>46095</v>
      </c>
      <c r="X47" s="16">
        <f t="shared" si="27"/>
        <v>46096</v>
      </c>
      <c r="Y47" s="16">
        <f t="shared" si="27"/>
        <v>46097</v>
      </c>
      <c r="Z47" s="16">
        <f t="shared" si="27"/>
        <v>46098</v>
      </c>
      <c r="AA47" s="16">
        <f t="shared" si="27"/>
        <v>46099</v>
      </c>
      <c r="AB47" s="16">
        <f t="shared" si="27"/>
        <v>46100</v>
      </c>
      <c r="AC47" s="16">
        <f t="shared" si="27"/>
        <v>46101</v>
      </c>
      <c r="AD47" s="16">
        <f t="shared" si="27"/>
        <v>46102</v>
      </c>
      <c r="AE47" s="16">
        <f t="shared" si="27"/>
        <v>46103</v>
      </c>
      <c r="AF47" s="16">
        <f t="shared" si="27"/>
        <v>46104</v>
      </c>
      <c r="AG47" s="16">
        <f t="shared" si="27"/>
        <v>46105</v>
      </c>
      <c r="AH47" s="16">
        <f t="shared" si="27"/>
        <v>46106</v>
      </c>
      <c r="AI47" s="16">
        <f t="shared" si="27"/>
        <v>46107</v>
      </c>
      <c r="AJ47" s="16">
        <f t="shared" si="27"/>
        <v>46108</v>
      </c>
      <c r="AK47" s="16">
        <f t="shared" si="27"/>
        <v>46109</v>
      </c>
      <c r="AL47" s="16">
        <f t="shared" si="27"/>
        <v>46110</v>
      </c>
      <c r="AM47" s="16">
        <f t="shared" si="27"/>
        <v>46111</v>
      </c>
      <c r="AN47" s="16">
        <f t="shared" si="27"/>
        <v>46112</v>
      </c>
      <c r="AO47" s="17" t="s">
        <v>28</v>
      </c>
      <c r="AQ47" s="18" t="s">
        <v>29</v>
      </c>
      <c r="AR47" s="18" t="s">
        <v>30</v>
      </c>
      <c r="AS47" s="18" t="s">
        <v>31</v>
      </c>
      <c r="AT47" s="18" t="s">
        <v>32</v>
      </c>
    </row>
    <row r="48" ht="15.0" customHeight="1">
      <c r="A48" s="34"/>
      <c r="B48" s="34"/>
      <c r="I48" s="35"/>
      <c r="J48" s="36">
        <f t="shared" ref="J48:AN48" si="28">J47</f>
        <v>46082</v>
      </c>
      <c r="K48" s="36">
        <f t="shared" si="28"/>
        <v>46083</v>
      </c>
      <c r="L48" s="36">
        <f t="shared" si="28"/>
        <v>46084</v>
      </c>
      <c r="M48" s="36">
        <f t="shared" si="28"/>
        <v>46085</v>
      </c>
      <c r="N48" s="36">
        <f t="shared" si="28"/>
        <v>46086</v>
      </c>
      <c r="O48" s="36">
        <f t="shared" si="28"/>
        <v>46087</v>
      </c>
      <c r="P48" s="36">
        <f t="shared" si="28"/>
        <v>46088</v>
      </c>
      <c r="Q48" s="36">
        <f t="shared" si="28"/>
        <v>46089</v>
      </c>
      <c r="R48" s="36">
        <f t="shared" si="28"/>
        <v>46090</v>
      </c>
      <c r="S48" s="36">
        <f t="shared" si="28"/>
        <v>46091</v>
      </c>
      <c r="T48" s="36">
        <f t="shared" si="28"/>
        <v>46092</v>
      </c>
      <c r="U48" s="36">
        <f t="shared" si="28"/>
        <v>46093</v>
      </c>
      <c r="V48" s="36">
        <f t="shared" si="28"/>
        <v>46094</v>
      </c>
      <c r="W48" s="36">
        <f t="shared" si="28"/>
        <v>46095</v>
      </c>
      <c r="X48" s="36">
        <f t="shared" si="28"/>
        <v>46096</v>
      </c>
      <c r="Y48" s="36">
        <f t="shared" si="28"/>
        <v>46097</v>
      </c>
      <c r="Z48" s="36">
        <f t="shared" si="28"/>
        <v>46098</v>
      </c>
      <c r="AA48" s="36">
        <f t="shared" si="28"/>
        <v>46099</v>
      </c>
      <c r="AB48" s="36">
        <f t="shared" si="28"/>
        <v>46100</v>
      </c>
      <c r="AC48" s="36">
        <f t="shared" si="28"/>
        <v>46101</v>
      </c>
      <c r="AD48" s="36">
        <f t="shared" si="28"/>
        <v>46102</v>
      </c>
      <c r="AE48" s="36">
        <f t="shared" si="28"/>
        <v>46103</v>
      </c>
      <c r="AF48" s="36">
        <f t="shared" si="28"/>
        <v>46104</v>
      </c>
      <c r="AG48" s="36">
        <f t="shared" si="28"/>
        <v>46105</v>
      </c>
      <c r="AH48" s="36">
        <f t="shared" si="28"/>
        <v>46106</v>
      </c>
      <c r="AI48" s="36">
        <f t="shared" si="28"/>
        <v>46107</v>
      </c>
      <c r="AJ48" s="36">
        <f t="shared" si="28"/>
        <v>46108</v>
      </c>
      <c r="AK48" s="36">
        <f t="shared" si="28"/>
        <v>46109</v>
      </c>
      <c r="AL48" s="36">
        <f t="shared" si="28"/>
        <v>46110</v>
      </c>
      <c r="AM48" s="36">
        <f t="shared" si="28"/>
        <v>46111</v>
      </c>
      <c r="AN48" s="36">
        <f t="shared" si="28"/>
        <v>46112</v>
      </c>
    </row>
    <row r="49">
      <c r="A49" s="22"/>
      <c r="B49" s="23" t="str">
        <f t="shared" ref="B49:H49" si="29">IF($E$2="Monday", TEXT(TODAY()-WEEKDAY(TODAY(),2)+COLUMN(B49)-1,"ddd"), TEXT(TODAY()-WEEKDAY(TODAY(),1)+IF(COLUMN(B49)&gt;1,COLUMN(B49)-1,7),"ddd"))
</f>
        <v>Mon</v>
      </c>
      <c r="C49" s="23" t="str">
        <f t="shared" si="29"/>
        <v>Tue</v>
      </c>
      <c r="D49" s="23" t="str">
        <f t="shared" si="29"/>
        <v>Wed</v>
      </c>
      <c r="E49" s="23" t="str">
        <f t="shared" si="29"/>
        <v>Thu</v>
      </c>
      <c r="F49" s="23" t="str">
        <f t="shared" si="29"/>
        <v>Fri</v>
      </c>
      <c r="G49" s="23" t="str">
        <f t="shared" si="29"/>
        <v>Sat</v>
      </c>
      <c r="H49" s="23" t="str">
        <f t="shared" si="29"/>
        <v>Sun</v>
      </c>
      <c r="I49" s="6" t="str">
        <f t="array" ref="I49:I68">Setup!$B$3:$B$22</f>
        <v>🧘🏻‍♀️Yoga</v>
      </c>
      <c r="J49" s="24" t="b">
        <v>0</v>
      </c>
      <c r="K49" s="38" t="b">
        <v>0</v>
      </c>
      <c r="L49" s="38" t="b">
        <v>0</v>
      </c>
      <c r="M49" s="38" t="b">
        <v>0</v>
      </c>
      <c r="N49" s="38" t="b">
        <v>0</v>
      </c>
      <c r="O49" s="38" t="b">
        <v>0</v>
      </c>
      <c r="P49" s="38" t="b">
        <v>0</v>
      </c>
      <c r="Q49" s="38" t="b">
        <v>0</v>
      </c>
      <c r="R49" s="38" t="b">
        <v>0</v>
      </c>
      <c r="S49" s="38" t="b">
        <v>0</v>
      </c>
      <c r="T49" s="38" t="b">
        <v>0</v>
      </c>
      <c r="U49" s="38" t="b">
        <v>0</v>
      </c>
      <c r="V49" s="38" t="b">
        <v>0</v>
      </c>
      <c r="W49" s="38" t="b">
        <v>0</v>
      </c>
      <c r="X49" s="38" t="b">
        <v>0</v>
      </c>
      <c r="Y49" s="38" t="b">
        <v>0</v>
      </c>
      <c r="Z49" s="38" t="b">
        <v>0</v>
      </c>
      <c r="AA49" s="38" t="b">
        <v>0</v>
      </c>
      <c r="AB49" s="38" t="b">
        <v>0</v>
      </c>
      <c r="AC49" s="38" t="b">
        <v>0</v>
      </c>
      <c r="AD49" s="38" t="b">
        <v>0</v>
      </c>
      <c r="AE49" s="38" t="b">
        <v>0</v>
      </c>
      <c r="AF49" s="38" t="b">
        <v>0</v>
      </c>
      <c r="AG49" s="38" t="b">
        <v>0</v>
      </c>
      <c r="AH49" s="38" t="b">
        <v>0</v>
      </c>
      <c r="AI49" s="38" t="b">
        <v>0</v>
      </c>
      <c r="AJ49" s="38" t="b">
        <v>0</v>
      </c>
      <c r="AK49" s="38" t="b">
        <v>0</v>
      </c>
      <c r="AL49" s="38" t="b">
        <v>0</v>
      </c>
      <c r="AM49" s="38" t="b">
        <v>0</v>
      </c>
      <c r="AN49" s="38" t="b">
        <v>0</v>
      </c>
      <c r="AO49" s="25">
        <f t="shared" ref="AO49:AO68" si="31">COUNTIF(J49:AN49, "TRUE")</f>
        <v>0</v>
      </c>
      <c r="AQ49" s="25">
        <f>IFERROR(__xludf.DUMMYFUNCTION("if(iserror(match(true,J49:AN49,0)),0,len(index(split(substitute(substitute(join("","",J49:AN49)&amp;"","",""TRUE,"",""x""),""FALSE,"","",""),"",""),,counta(split(substitute(substitute(join("","",J49:AN49)&amp;"","",""TRUE,"",""x""),""FALSE,"","",""),"","")))))"),0.0)</f>
        <v>0</v>
      </c>
      <c r="AR49" s="25" t="str">
        <f>IFERROR(__xludf.DUMMYFUNCTION("arrayformula( if( sum(J49:AN49 + 0), max( len( split( concatenate( left(J49:AN49) ), ""F"" ) ) ), ""0"" ) )"),"0")</f>
        <v>0</v>
      </c>
      <c r="AS49" s="26">
        <v>15.0</v>
      </c>
      <c r="AT49" s="27">
        <f t="shared" ref="AT49:AT68" si="32">AO49/AS49</f>
        <v>0</v>
      </c>
    </row>
    <row r="50">
      <c r="A50" s="28">
        <f>WEEKNUM(DATE($D$1, MONTH(I47 &amp; 1), 1), 2)
</f>
        <v>9</v>
      </c>
      <c r="B50" s="29">
        <f t="array" ref="B50">IFERROR(DATE($D$1, 1, (A50-1)*7 + 2 - WEEKDAY(DATE($D$1, 1, 1) - MATCH(B49, {"Mon","Tue","Wed","Thu","Fri","Sat","Sun"}, 0))), "")</f>
        <v>46076</v>
      </c>
      <c r="C50" s="30">
        <f t="shared" ref="C50:H50" si="30">B50+1</f>
        <v>46077</v>
      </c>
      <c r="D50" s="30">
        <f t="shared" si="30"/>
        <v>46078</v>
      </c>
      <c r="E50" s="30">
        <f t="shared" si="30"/>
        <v>46079</v>
      </c>
      <c r="F50" s="30">
        <f t="shared" si="30"/>
        <v>46080</v>
      </c>
      <c r="G50" s="30">
        <f t="shared" si="30"/>
        <v>46081</v>
      </c>
      <c r="H50" s="30">
        <f t="shared" si="30"/>
        <v>46082</v>
      </c>
      <c r="I50" s="6" t="s">
        <v>7</v>
      </c>
      <c r="J50" s="24" t="b">
        <v>0</v>
      </c>
      <c r="K50" s="24" t="b">
        <v>0</v>
      </c>
      <c r="L50" s="24" t="b">
        <v>0</v>
      </c>
      <c r="M50" s="24" t="b">
        <v>0</v>
      </c>
      <c r="N50" s="38" t="b">
        <v>0</v>
      </c>
      <c r="O50" s="24" t="b">
        <v>0</v>
      </c>
      <c r="P50" s="24" t="b">
        <v>0</v>
      </c>
      <c r="Q50" s="24" t="b">
        <v>0</v>
      </c>
      <c r="R50" s="38" t="b">
        <v>0</v>
      </c>
      <c r="S50" s="24" t="b">
        <v>0</v>
      </c>
      <c r="T50" s="38" t="b">
        <v>0</v>
      </c>
      <c r="U50" s="24" t="b">
        <v>0</v>
      </c>
      <c r="V50" s="38" t="b">
        <v>0</v>
      </c>
      <c r="W50" s="38" t="b">
        <v>0</v>
      </c>
      <c r="X50" s="38" t="b">
        <v>0</v>
      </c>
      <c r="Y50" s="38" t="b">
        <v>0</v>
      </c>
      <c r="Z50" s="24" t="b">
        <v>0</v>
      </c>
      <c r="AA50" s="24" t="b">
        <v>0</v>
      </c>
      <c r="AB50" s="24" t="b">
        <v>0</v>
      </c>
      <c r="AC50" s="24" t="b">
        <v>0</v>
      </c>
      <c r="AD50" s="38" t="b">
        <v>0</v>
      </c>
      <c r="AE50" s="38" t="b">
        <v>0</v>
      </c>
      <c r="AF50" s="38" t="b">
        <v>0</v>
      </c>
      <c r="AG50" s="38" t="b">
        <v>0</v>
      </c>
      <c r="AH50" s="38" t="b">
        <v>0</v>
      </c>
      <c r="AI50" s="38" t="b">
        <v>0</v>
      </c>
      <c r="AJ50" s="38" t="b">
        <v>0</v>
      </c>
      <c r="AK50" s="38" t="b">
        <v>0</v>
      </c>
      <c r="AL50" s="38" t="b">
        <v>0</v>
      </c>
      <c r="AM50" s="38" t="b">
        <v>0</v>
      </c>
      <c r="AN50" s="38" t="b">
        <v>0</v>
      </c>
      <c r="AO50" s="25">
        <f t="shared" si="31"/>
        <v>0</v>
      </c>
      <c r="AQ50" s="25">
        <f>IFERROR(__xludf.DUMMYFUNCTION("if(iserror(match(true,J50:AN50,0)),0,len(index(split(substitute(substitute(join("","",J50:AN50)&amp;"","",""TRUE,"",""x""),""FALSE,"","",""),"",""),,counta(split(substitute(substitute(join("","",J50:AN50)&amp;"","",""TRUE,"",""x""),""FALSE,"","",""),"","")))))"),0.0)</f>
        <v>0</v>
      </c>
      <c r="AR50" s="25" t="str">
        <f>IFERROR(__xludf.DUMMYFUNCTION("arrayformula( if( sum(J50:AN50 + 0), max( len( split( concatenate( left(J50:AN50) ), ""F"" ) ) ), ""0"" ) )"),"0")</f>
        <v>0</v>
      </c>
      <c r="AS50" s="26">
        <v>20.0</v>
      </c>
      <c r="AT50" s="27">
        <f t="shared" si="32"/>
        <v>0</v>
      </c>
    </row>
    <row r="51">
      <c r="A51" s="31">
        <f t="shared" ref="A51:A55" si="34">A50+1</f>
        <v>10</v>
      </c>
      <c r="B51" s="30">
        <f t="shared" ref="B51:B55" si="35">H50+1</f>
        <v>46083</v>
      </c>
      <c r="C51" s="30">
        <f t="shared" ref="C51:H51" si="33">B51+1</f>
        <v>46084</v>
      </c>
      <c r="D51" s="30">
        <f t="shared" si="33"/>
        <v>46085</v>
      </c>
      <c r="E51" s="30">
        <f t="shared" si="33"/>
        <v>46086</v>
      </c>
      <c r="F51" s="30">
        <f t="shared" si="33"/>
        <v>46087</v>
      </c>
      <c r="G51" s="30">
        <f t="shared" si="33"/>
        <v>46088</v>
      </c>
      <c r="H51" s="30">
        <f t="shared" si="33"/>
        <v>46089</v>
      </c>
      <c r="I51" s="6" t="s">
        <v>11</v>
      </c>
      <c r="J51" s="24" t="b">
        <v>0</v>
      </c>
      <c r="K51" s="38" t="b">
        <v>0</v>
      </c>
      <c r="L51" s="38" t="b">
        <v>0</v>
      </c>
      <c r="M51" s="38" t="b">
        <v>0</v>
      </c>
      <c r="N51" s="38" t="b">
        <v>0</v>
      </c>
      <c r="O51" s="38" t="b">
        <v>0</v>
      </c>
      <c r="P51" s="38" t="b">
        <v>0</v>
      </c>
      <c r="Q51" s="38" t="b">
        <v>0</v>
      </c>
      <c r="R51" s="38" t="b">
        <v>0</v>
      </c>
      <c r="S51" s="38" t="b">
        <v>0</v>
      </c>
      <c r="T51" s="38" t="b">
        <v>0</v>
      </c>
      <c r="U51" s="38" t="b">
        <v>0</v>
      </c>
      <c r="V51" s="38" t="b">
        <v>0</v>
      </c>
      <c r="W51" s="38" t="b">
        <v>0</v>
      </c>
      <c r="X51" s="38" t="b">
        <v>0</v>
      </c>
      <c r="Y51" s="38" t="b">
        <v>0</v>
      </c>
      <c r="Z51" s="38" t="b">
        <v>0</v>
      </c>
      <c r="AA51" s="38" t="b">
        <v>0</v>
      </c>
      <c r="AB51" s="38" t="b">
        <v>0</v>
      </c>
      <c r="AC51" s="38" t="b">
        <v>0</v>
      </c>
      <c r="AD51" s="38" t="b">
        <v>0</v>
      </c>
      <c r="AE51" s="38" t="b">
        <v>0</v>
      </c>
      <c r="AF51" s="38" t="b">
        <v>0</v>
      </c>
      <c r="AG51" s="38" t="b">
        <v>0</v>
      </c>
      <c r="AH51" s="38" t="b">
        <v>0</v>
      </c>
      <c r="AI51" s="38" t="b">
        <v>0</v>
      </c>
      <c r="AJ51" s="38" t="b">
        <v>0</v>
      </c>
      <c r="AK51" s="38" t="b">
        <v>0</v>
      </c>
      <c r="AL51" s="38" t="b">
        <v>0</v>
      </c>
      <c r="AM51" s="38" t="b">
        <v>0</v>
      </c>
      <c r="AN51" s="38" t="b">
        <v>0</v>
      </c>
      <c r="AO51" s="25">
        <f t="shared" si="31"/>
        <v>0</v>
      </c>
      <c r="AQ51" s="25">
        <f>IFERROR(__xludf.DUMMYFUNCTION("if(iserror(match(true,J51:AN51,0)),0,len(index(split(substitute(substitute(join("","",J51:AN51)&amp;"","",""TRUE,"",""x""),""FALSE,"","",""),"",""),,counta(split(substitute(substitute(join("","",J51:AN51)&amp;"","",""TRUE,"",""x""),""FALSE,"","",""),"","")))))"),0.0)</f>
        <v>0</v>
      </c>
      <c r="AR51" s="25" t="str">
        <f>IFERROR(__xludf.DUMMYFUNCTION("arrayformula( if( sum(J51:AN51 + 0), max( len( split( concatenate( left(J51:AN51) ), ""F"" ) ) ), ""0"" ) )"),"0")</f>
        <v>0</v>
      </c>
      <c r="AS51" s="26">
        <v>30.0</v>
      </c>
      <c r="AT51" s="27">
        <f t="shared" si="32"/>
        <v>0</v>
      </c>
    </row>
    <row r="52">
      <c r="A52" s="31">
        <f t="shared" si="34"/>
        <v>11</v>
      </c>
      <c r="B52" s="30">
        <f t="shared" si="35"/>
        <v>46090</v>
      </c>
      <c r="C52" s="30">
        <f t="shared" ref="C52:H52" si="36">B52+1</f>
        <v>46091</v>
      </c>
      <c r="D52" s="30">
        <f t="shared" si="36"/>
        <v>46092</v>
      </c>
      <c r="E52" s="30">
        <f t="shared" si="36"/>
        <v>46093</v>
      </c>
      <c r="F52" s="30">
        <f t="shared" si="36"/>
        <v>46094</v>
      </c>
      <c r="G52" s="30">
        <f t="shared" si="36"/>
        <v>46095</v>
      </c>
      <c r="H52" s="30">
        <f t="shared" si="36"/>
        <v>46096</v>
      </c>
      <c r="I52" s="6" t="s">
        <v>14</v>
      </c>
      <c r="J52" s="24" t="b">
        <v>0</v>
      </c>
      <c r="K52" s="38" t="b">
        <v>0</v>
      </c>
      <c r="L52" s="38" t="b">
        <v>0</v>
      </c>
      <c r="M52" s="38" t="b">
        <v>0</v>
      </c>
      <c r="N52" s="38" t="b">
        <v>0</v>
      </c>
      <c r="O52" s="38" t="b">
        <v>0</v>
      </c>
      <c r="P52" s="38" t="b">
        <v>0</v>
      </c>
      <c r="Q52" s="38" t="b">
        <v>0</v>
      </c>
      <c r="R52" s="38" t="b">
        <v>0</v>
      </c>
      <c r="S52" s="38" t="b">
        <v>0</v>
      </c>
      <c r="T52" s="38" t="b">
        <v>0</v>
      </c>
      <c r="U52" s="38" t="b">
        <v>0</v>
      </c>
      <c r="V52" s="38" t="b">
        <v>0</v>
      </c>
      <c r="W52" s="38" t="b">
        <v>0</v>
      </c>
      <c r="X52" s="38" t="b">
        <v>0</v>
      </c>
      <c r="Y52" s="38" t="b">
        <v>0</v>
      </c>
      <c r="Z52" s="38" t="b">
        <v>0</v>
      </c>
      <c r="AA52" s="38" t="b">
        <v>0</v>
      </c>
      <c r="AB52" s="38" t="b">
        <v>0</v>
      </c>
      <c r="AC52" s="38" t="b">
        <v>0</v>
      </c>
      <c r="AD52" s="38" t="b">
        <v>0</v>
      </c>
      <c r="AE52" s="38" t="b">
        <v>0</v>
      </c>
      <c r="AF52" s="38" t="b">
        <v>0</v>
      </c>
      <c r="AG52" s="38" t="b">
        <v>0</v>
      </c>
      <c r="AH52" s="38" t="b">
        <v>0</v>
      </c>
      <c r="AI52" s="38" t="b">
        <v>0</v>
      </c>
      <c r="AJ52" s="38" t="b">
        <v>0</v>
      </c>
      <c r="AK52" s="38" t="b">
        <v>0</v>
      </c>
      <c r="AL52" s="38" t="b">
        <v>0</v>
      </c>
      <c r="AM52" s="38" t="b">
        <v>0</v>
      </c>
      <c r="AN52" s="38" t="b">
        <v>0</v>
      </c>
      <c r="AO52" s="25">
        <f t="shared" si="31"/>
        <v>0</v>
      </c>
      <c r="AQ52" s="25">
        <f>IFERROR(__xludf.DUMMYFUNCTION("if(iserror(match(true,J52:AN52,0)),0,len(index(split(substitute(substitute(join("","",J52:AN52)&amp;"","",""TRUE,"",""x""),""FALSE,"","",""),"",""),,counta(split(substitute(substitute(join("","",J52:AN52)&amp;"","",""TRUE,"",""x""),""FALSE,"","",""),"","")))))"),0.0)</f>
        <v>0</v>
      </c>
      <c r="AR52" s="25" t="str">
        <f>IFERROR(__xludf.DUMMYFUNCTION("arrayformula( if( sum(J52:AN52 + 0), max( len( split( concatenate( left(J52:AN52) ), ""F"" ) ) ), ""0"" ) )"),"0")</f>
        <v>0</v>
      </c>
      <c r="AS52" s="26">
        <v>20.0</v>
      </c>
      <c r="AT52" s="27">
        <f t="shared" si="32"/>
        <v>0</v>
      </c>
    </row>
    <row r="53">
      <c r="A53" s="31">
        <f t="shared" si="34"/>
        <v>12</v>
      </c>
      <c r="B53" s="30">
        <f t="shared" si="35"/>
        <v>46097</v>
      </c>
      <c r="C53" s="30">
        <f t="shared" ref="C53:H53" si="37">B53+1</f>
        <v>46098</v>
      </c>
      <c r="D53" s="30">
        <f t="shared" si="37"/>
        <v>46099</v>
      </c>
      <c r="E53" s="30">
        <f t="shared" si="37"/>
        <v>46100</v>
      </c>
      <c r="F53" s="30">
        <f t="shared" si="37"/>
        <v>46101</v>
      </c>
      <c r="G53" s="30">
        <f t="shared" si="37"/>
        <v>46102</v>
      </c>
      <c r="H53" s="30">
        <f t="shared" si="37"/>
        <v>46103</v>
      </c>
      <c r="I53" s="6" t="s">
        <v>17</v>
      </c>
      <c r="J53" s="24" t="b">
        <v>0</v>
      </c>
      <c r="K53" s="38" t="b">
        <v>0</v>
      </c>
      <c r="L53" s="38" t="b">
        <v>0</v>
      </c>
      <c r="M53" s="38" t="b">
        <v>0</v>
      </c>
      <c r="N53" s="38" t="b">
        <v>0</v>
      </c>
      <c r="O53" s="38" t="b">
        <v>0</v>
      </c>
      <c r="P53" s="38" t="b">
        <v>0</v>
      </c>
      <c r="Q53" s="38" t="b">
        <v>0</v>
      </c>
      <c r="R53" s="38" t="b">
        <v>0</v>
      </c>
      <c r="S53" s="38" t="b">
        <v>0</v>
      </c>
      <c r="T53" s="38" t="b">
        <v>0</v>
      </c>
      <c r="U53" s="38" t="b">
        <v>0</v>
      </c>
      <c r="V53" s="38" t="b">
        <v>0</v>
      </c>
      <c r="W53" s="38" t="b">
        <v>0</v>
      </c>
      <c r="X53" s="38" t="b">
        <v>0</v>
      </c>
      <c r="Y53" s="38" t="b">
        <v>0</v>
      </c>
      <c r="Z53" s="38" t="b">
        <v>0</v>
      </c>
      <c r="AA53" s="38" t="b">
        <v>0</v>
      </c>
      <c r="AB53" s="38" t="b">
        <v>0</v>
      </c>
      <c r="AC53" s="38" t="b">
        <v>0</v>
      </c>
      <c r="AD53" s="38" t="b">
        <v>0</v>
      </c>
      <c r="AE53" s="38" t="b">
        <v>0</v>
      </c>
      <c r="AF53" s="38" t="b">
        <v>0</v>
      </c>
      <c r="AG53" s="38" t="b">
        <v>0</v>
      </c>
      <c r="AH53" s="38" t="b">
        <v>0</v>
      </c>
      <c r="AI53" s="38" t="b">
        <v>0</v>
      </c>
      <c r="AJ53" s="38" t="b">
        <v>0</v>
      </c>
      <c r="AK53" s="38" t="b">
        <v>0</v>
      </c>
      <c r="AL53" s="38" t="b">
        <v>0</v>
      </c>
      <c r="AM53" s="38" t="b">
        <v>0</v>
      </c>
      <c r="AN53" s="38" t="b">
        <v>0</v>
      </c>
      <c r="AO53" s="25">
        <f t="shared" si="31"/>
        <v>0</v>
      </c>
      <c r="AQ53" s="25">
        <f>IFERROR(__xludf.DUMMYFUNCTION("if(iserror(match(true,J53:AN53,0)),0,len(index(split(substitute(substitute(join("","",J53:AN53)&amp;"","",""TRUE,"",""x""),""FALSE,"","",""),"",""),,counta(split(substitute(substitute(join("","",J53:AN53)&amp;"","",""TRUE,"",""x""),""FALSE,"","",""),"","")))))"),0.0)</f>
        <v>0</v>
      </c>
      <c r="AR53" s="25" t="str">
        <f>IFERROR(__xludf.DUMMYFUNCTION("arrayformula( if( sum(J53:AN53 + 0), max( len( split( concatenate( left(J53:AN53) ), ""F"" ) ) ), ""0"" ) )"),"0")</f>
        <v>0</v>
      </c>
      <c r="AS53" s="26">
        <v>20.0</v>
      </c>
      <c r="AT53" s="27">
        <f t="shared" si="32"/>
        <v>0</v>
      </c>
    </row>
    <row r="54">
      <c r="A54" s="31">
        <f t="shared" si="34"/>
        <v>13</v>
      </c>
      <c r="B54" s="30">
        <f t="shared" si="35"/>
        <v>46104</v>
      </c>
      <c r="C54" s="30">
        <f t="shared" ref="C54:H54" si="38">B54+1</f>
        <v>46105</v>
      </c>
      <c r="D54" s="30">
        <f t="shared" si="38"/>
        <v>46106</v>
      </c>
      <c r="E54" s="30">
        <f t="shared" si="38"/>
        <v>46107</v>
      </c>
      <c r="F54" s="30">
        <f t="shared" si="38"/>
        <v>46108</v>
      </c>
      <c r="G54" s="30">
        <f t="shared" si="38"/>
        <v>46109</v>
      </c>
      <c r="H54" s="30">
        <f t="shared" si="38"/>
        <v>46110</v>
      </c>
      <c r="I54" s="6" t="s">
        <v>20</v>
      </c>
      <c r="J54" s="24" t="b">
        <v>0</v>
      </c>
      <c r="K54" s="24" t="b">
        <v>0</v>
      </c>
      <c r="L54" s="24" t="b">
        <v>0</v>
      </c>
      <c r="M54" s="24" t="b">
        <v>0</v>
      </c>
      <c r="N54" s="24" t="b">
        <v>0</v>
      </c>
      <c r="O54" s="24" t="b">
        <v>0</v>
      </c>
      <c r="P54" s="24" t="b">
        <v>0</v>
      </c>
      <c r="Q54" s="24" t="b">
        <v>0</v>
      </c>
      <c r="R54" s="24" t="b">
        <v>0</v>
      </c>
      <c r="S54" s="24" t="b">
        <v>0</v>
      </c>
      <c r="T54" s="24" t="b">
        <v>0</v>
      </c>
      <c r="U54" s="24" t="b">
        <v>0</v>
      </c>
      <c r="V54" s="24" t="b">
        <v>0</v>
      </c>
      <c r="W54" s="38" t="b">
        <v>0</v>
      </c>
      <c r="X54" s="38" t="b">
        <v>0</v>
      </c>
      <c r="Y54" s="38" t="b">
        <v>0</v>
      </c>
      <c r="Z54" s="38" t="b">
        <v>0</v>
      </c>
      <c r="AA54" s="38" t="b">
        <v>0</v>
      </c>
      <c r="AB54" s="38" t="b">
        <v>0</v>
      </c>
      <c r="AC54" s="38" t="b">
        <v>0</v>
      </c>
      <c r="AD54" s="38" t="b">
        <v>0</v>
      </c>
      <c r="AE54" s="38" t="b">
        <v>0</v>
      </c>
      <c r="AF54" s="38" t="b">
        <v>0</v>
      </c>
      <c r="AG54" s="38" t="b">
        <v>0</v>
      </c>
      <c r="AH54" s="38" t="b">
        <v>0</v>
      </c>
      <c r="AI54" s="38" t="b">
        <v>0</v>
      </c>
      <c r="AJ54" s="38" t="b">
        <v>0</v>
      </c>
      <c r="AK54" s="38" t="b">
        <v>0</v>
      </c>
      <c r="AL54" s="38" t="b">
        <v>0</v>
      </c>
      <c r="AM54" s="38" t="b">
        <v>0</v>
      </c>
      <c r="AN54" s="38" t="b">
        <v>0</v>
      </c>
      <c r="AO54" s="25">
        <f t="shared" si="31"/>
        <v>0</v>
      </c>
      <c r="AQ54" s="25">
        <f>IFERROR(__xludf.DUMMYFUNCTION("if(iserror(match(true,J54:AN54,0)),0,len(index(split(substitute(substitute(join("","",J54:AN54)&amp;"","",""TRUE,"",""x""),""FALSE,"","",""),"",""),,counta(split(substitute(substitute(join("","",J54:AN54)&amp;"","",""TRUE,"",""x""),""FALSE,"","",""),"","")))))"),0.0)</f>
        <v>0</v>
      </c>
      <c r="AR54" s="25" t="str">
        <f>IFERROR(__xludf.DUMMYFUNCTION("arrayformula( if( sum(J54:AN54 + 0), max( len( split( concatenate( left(J54:AN54) ), ""F"" ) ) ), ""0"" ) )"),"0")</f>
        <v>0</v>
      </c>
      <c r="AS54" s="26">
        <v>15.0</v>
      </c>
      <c r="AT54" s="27">
        <f t="shared" si="32"/>
        <v>0</v>
      </c>
    </row>
    <row r="55">
      <c r="A55" s="31">
        <f t="shared" si="34"/>
        <v>14</v>
      </c>
      <c r="B55" s="30">
        <f t="shared" si="35"/>
        <v>46111</v>
      </c>
      <c r="C55" s="30">
        <f t="shared" ref="C55:H55" si="39">B55+1</f>
        <v>46112</v>
      </c>
      <c r="D55" s="30">
        <f t="shared" si="39"/>
        <v>46113</v>
      </c>
      <c r="E55" s="30">
        <f t="shared" si="39"/>
        <v>46114</v>
      </c>
      <c r="F55" s="30">
        <f t="shared" si="39"/>
        <v>46115</v>
      </c>
      <c r="G55" s="30">
        <f t="shared" si="39"/>
        <v>46116</v>
      </c>
      <c r="H55" s="30">
        <f t="shared" si="39"/>
        <v>46117</v>
      </c>
      <c r="I55" s="6"/>
      <c r="J55" s="24" t="b">
        <v>0</v>
      </c>
      <c r="K55" s="24" t="b">
        <v>0</v>
      </c>
      <c r="L55" s="24" t="b">
        <v>0</v>
      </c>
      <c r="M55" s="24" t="b">
        <v>0</v>
      </c>
      <c r="N55" s="24" t="b">
        <v>0</v>
      </c>
      <c r="O55" s="24" t="b">
        <v>0</v>
      </c>
      <c r="P55" s="24" t="b">
        <v>0</v>
      </c>
      <c r="Q55" s="24" t="b">
        <v>0</v>
      </c>
      <c r="R55" s="24" t="b">
        <v>0</v>
      </c>
      <c r="S55" s="24" t="b">
        <v>0</v>
      </c>
      <c r="T55" s="24" t="b">
        <v>0</v>
      </c>
      <c r="U55" s="24" t="b">
        <v>0</v>
      </c>
      <c r="V55" s="24" t="b">
        <v>0</v>
      </c>
      <c r="W55" s="38" t="b">
        <v>0</v>
      </c>
      <c r="X55" s="38" t="b">
        <v>0</v>
      </c>
      <c r="Y55" s="38" t="b">
        <v>0</v>
      </c>
      <c r="Z55" s="38" t="b">
        <v>0</v>
      </c>
      <c r="AA55" s="38" t="b">
        <v>0</v>
      </c>
      <c r="AB55" s="38" t="b">
        <v>0</v>
      </c>
      <c r="AC55" s="38" t="b">
        <v>0</v>
      </c>
      <c r="AD55" s="38" t="b">
        <v>0</v>
      </c>
      <c r="AE55" s="38" t="b">
        <v>0</v>
      </c>
      <c r="AF55" s="38" t="b">
        <v>0</v>
      </c>
      <c r="AG55" s="38" t="b">
        <v>0</v>
      </c>
      <c r="AH55" s="38" t="b">
        <v>0</v>
      </c>
      <c r="AI55" s="38" t="b">
        <v>0</v>
      </c>
      <c r="AJ55" s="38" t="b">
        <v>0</v>
      </c>
      <c r="AK55" s="38" t="b">
        <v>0</v>
      </c>
      <c r="AL55" s="38" t="b">
        <v>0</v>
      </c>
      <c r="AM55" s="38" t="b">
        <v>0</v>
      </c>
      <c r="AN55" s="38" t="b">
        <v>0</v>
      </c>
      <c r="AO55" s="25">
        <f t="shared" si="31"/>
        <v>0</v>
      </c>
      <c r="AQ55" s="25">
        <f>IFERROR(__xludf.DUMMYFUNCTION("if(iserror(match(true,J55:AN55,0)),0,len(index(split(substitute(substitute(join("","",J55:AN55)&amp;"","",""TRUE,"",""x""),""FALSE,"","",""),"",""),,counta(split(substitute(substitute(join("","",J55:AN55)&amp;"","",""TRUE,"",""x""),""FALSE,"","",""),"","")))))"),0.0)</f>
        <v>0</v>
      </c>
      <c r="AR55" s="25" t="str">
        <f>IFERROR(__xludf.DUMMYFUNCTION("arrayformula( if( sum(J55:AN55 + 0), max( len( split( concatenate( left(J55:AN55) ), ""F"" ) ) ), ""0"" ) )"),"0")</f>
        <v>0</v>
      </c>
      <c r="AS55" s="26">
        <v>15.0</v>
      </c>
      <c r="AT55" s="27">
        <f t="shared" si="32"/>
        <v>0</v>
      </c>
    </row>
    <row r="56" hidden="1">
      <c r="A56" s="39"/>
      <c r="B56" s="40"/>
      <c r="C56" s="40"/>
      <c r="D56" s="40"/>
      <c r="E56" s="40"/>
      <c r="F56" s="40"/>
      <c r="G56" s="41"/>
      <c r="H56" s="41"/>
      <c r="I56" s="6"/>
      <c r="J56" s="24" t="b">
        <v>0</v>
      </c>
      <c r="K56" s="24" t="b">
        <v>0</v>
      </c>
      <c r="L56" s="24" t="b">
        <v>0</v>
      </c>
      <c r="M56" s="24" t="b">
        <v>0</v>
      </c>
      <c r="N56" s="24" t="b">
        <v>0</v>
      </c>
      <c r="O56" s="24" t="b">
        <v>0</v>
      </c>
      <c r="P56" s="24" t="b">
        <v>0</v>
      </c>
      <c r="Q56" s="24" t="b">
        <v>0</v>
      </c>
      <c r="R56" s="24" t="b">
        <v>0</v>
      </c>
      <c r="S56" s="24" t="b">
        <v>0</v>
      </c>
      <c r="T56" s="24" t="b">
        <v>0</v>
      </c>
      <c r="U56" s="24" t="b">
        <v>0</v>
      </c>
      <c r="V56" s="24" t="b">
        <v>0</v>
      </c>
      <c r="W56" s="38" t="b">
        <v>0</v>
      </c>
      <c r="X56" s="38" t="b">
        <v>0</v>
      </c>
      <c r="Y56" s="38" t="b">
        <v>0</v>
      </c>
      <c r="Z56" s="38" t="b">
        <v>0</v>
      </c>
      <c r="AA56" s="38" t="b">
        <v>0</v>
      </c>
      <c r="AB56" s="38" t="b">
        <v>0</v>
      </c>
      <c r="AC56" s="38" t="b">
        <v>0</v>
      </c>
      <c r="AD56" s="38" t="b">
        <v>0</v>
      </c>
      <c r="AE56" s="38" t="b">
        <v>0</v>
      </c>
      <c r="AF56" s="38" t="b">
        <v>0</v>
      </c>
      <c r="AG56" s="38" t="b">
        <v>0</v>
      </c>
      <c r="AH56" s="38" t="b">
        <v>0</v>
      </c>
      <c r="AI56" s="38" t="b">
        <v>0</v>
      </c>
      <c r="AJ56" s="38" t="b">
        <v>0</v>
      </c>
      <c r="AK56" s="38" t="b">
        <v>0</v>
      </c>
      <c r="AL56" s="38" t="b">
        <v>0</v>
      </c>
      <c r="AM56" s="38" t="b">
        <v>0</v>
      </c>
      <c r="AN56" s="38" t="b">
        <v>0</v>
      </c>
      <c r="AO56" s="25">
        <f t="shared" si="31"/>
        <v>0</v>
      </c>
      <c r="AQ56" s="25">
        <f>IFERROR(__xludf.DUMMYFUNCTION("if(iserror(match(true,J56:AN56,0)),0,len(index(split(substitute(substitute(join("","",J56:AN56)&amp;"","",""TRUE,"",""x""),""FALSE,"","",""),"",""),,counta(split(substitute(substitute(join("","",J56:AN56)&amp;"","",""TRUE,"",""x""),""FALSE,"","",""),"","")))))"),0.0)</f>
        <v>0</v>
      </c>
      <c r="AR56" s="25" t="str">
        <f>IFERROR(__xludf.DUMMYFUNCTION("arrayformula( if( sum(J56:AN56 + 0), max( len( split( concatenate( left(J56:AN56) ), ""F"" ) ) ), ""0"" ) )"),"0")</f>
        <v>0</v>
      </c>
      <c r="AS56" s="26">
        <v>15.0</v>
      </c>
      <c r="AT56" s="27">
        <f t="shared" si="32"/>
        <v>0</v>
      </c>
    </row>
    <row r="57" hidden="1">
      <c r="A57" s="39"/>
      <c r="B57" s="40"/>
      <c r="C57" s="40"/>
      <c r="D57" s="40"/>
      <c r="E57" s="40"/>
      <c r="F57" s="40"/>
      <c r="G57" s="41"/>
      <c r="H57" s="41"/>
      <c r="I57" s="6"/>
      <c r="J57" s="24" t="b">
        <v>0</v>
      </c>
      <c r="K57" s="24" t="b">
        <v>0</v>
      </c>
      <c r="L57" s="24" t="b">
        <v>0</v>
      </c>
      <c r="M57" s="24" t="b">
        <v>0</v>
      </c>
      <c r="N57" s="24" t="b">
        <v>0</v>
      </c>
      <c r="O57" s="24" t="b">
        <v>0</v>
      </c>
      <c r="P57" s="24" t="b">
        <v>0</v>
      </c>
      <c r="Q57" s="24" t="b">
        <v>0</v>
      </c>
      <c r="R57" s="24" t="b">
        <v>0</v>
      </c>
      <c r="S57" s="24" t="b">
        <v>0</v>
      </c>
      <c r="T57" s="24" t="b">
        <v>0</v>
      </c>
      <c r="U57" s="24" t="b">
        <v>0</v>
      </c>
      <c r="V57" s="24" t="b">
        <v>0</v>
      </c>
      <c r="W57" s="38" t="b">
        <v>0</v>
      </c>
      <c r="X57" s="38" t="b">
        <v>0</v>
      </c>
      <c r="Y57" s="38" t="b">
        <v>0</v>
      </c>
      <c r="Z57" s="38" t="b">
        <v>0</v>
      </c>
      <c r="AA57" s="38" t="b">
        <v>0</v>
      </c>
      <c r="AB57" s="38" t="b">
        <v>0</v>
      </c>
      <c r="AC57" s="38" t="b">
        <v>0</v>
      </c>
      <c r="AD57" s="38" t="b">
        <v>0</v>
      </c>
      <c r="AE57" s="38" t="b">
        <v>0</v>
      </c>
      <c r="AF57" s="38" t="b">
        <v>0</v>
      </c>
      <c r="AG57" s="38" t="b">
        <v>0</v>
      </c>
      <c r="AH57" s="38" t="b">
        <v>0</v>
      </c>
      <c r="AI57" s="38" t="b">
        <v>0</v>
      </c>
      <c r="AJ57" s="38" t="b">
        <v>0</v>
      </c>
      <c r="AK57" s="38" t="b">
        <v>0</v>
      </c>
      <c r="AL57" s="38" t="b">
        <v>0</v>
      </c>
      <c r="AM57" s="38" t="b">
        <v>0</v>
      </c>
      <c r="AN57" s="38" t="b">
        <v>0</v>
      </c>
      <c r="AO57" s="25">
        <f t="shared" si="31"/>
        <v>0</v>
      </c>
      <c r="AQ57" s="25">
        <f>IFERROR(__xludf.DUMMYFUNCTION("if(iserror(match(true,J57:AN57,0)),0,len(index(split(substitute(substitute(join("","",J57:AN57)&amp;"","",""TRUE,"",""x""),""FALSE,"","",""),"",""),,counta(split(substitute(substitute(join("","",J57:AN57)&amp;"","",""TRUE,"",""x""),""FALSE,"","",""),"","")))))"),0.0)</f>
        <v>0</v>
      </c>
      <c r="AR57" s="25" t="str">
        <f>IFERROR(__xludf.DUMMYFUNCTION("arrayformula( if( sum(J57:AN57 + 0), max( len( split( concatenate( left(J57:AN57) ), ""F"" ) ) ), ""0"" ) )"),"0")</f>
        <v>0</v>
      </c>
      <c r="AS57" s="26">
        <v>15.0</v>
      </c>
      <c r="AT57" s="27">
        <f t="shared" si="32"/>
        <v>0</v>
      </c>
    </row>
    <row r="58" hidden="1">
      <c r="A58" s="39"/>
      <c r="B58" s="40"/>
      <c r="C58" s="40"/>
      <c r="D58" s="40"/>
      <c r="E58" s="40"/>
      <c r="F58" s="40"/>
      <c r="G58" s="41"/>
      <c r="H58" s="41"/>
      <c r="I58" s="6"/>
      <c r="J58" s="24" t="b">
        <v>0</v>
      </c>
      <c r="K58" s="24" t="b">
        <v>0</v>
      </c>
      <c r="L58" s="24" t="b">
        <v>0</v>
      </c>
      <c r="M58" s="24" t="b">
        <v>0</v>
      </c>
      <c r="N58" s="24" t="b">
        <v>0</v>
      </c>
      <c r="O58" s="24" t="b">
        <v>0</v>
      </c>
      <c r="P58" s="24" t="b">
        <v>0</v>
      </c>
      <c r="Q58" s="24" t="b">
        <v>0</v>
      </c>
      <c r="R58" s="24" t="b">
        <v>0</v>
      </c>
      <c r="S58" s="24" t="b">
        <v>0</v>
      </c>
      <c r="T58" s="24" t="b">
        <v>0</v>
      </c>
      <c r="U58" s="24" t="b">
        <v>0</v>
      </c>
      <c r="V58" s="24" t="b">
        <v>0</v>
      </c>
      <c r="W58" s="38" t="b">
        <v>0</v>
      </c>
      <c r="X58" s="38" t="b">
        <v>0</v>
      </c>
      <c r="Y58" s="38" t="b">
        <v>0</v>
      </c>
      <c r="Z58" s="38" t="b">
        <v>0</v>
      </c>
      <c r="AA58" s="38" t="b">
        <v>0</v>
      </c>
      <c r="AB58" s="38" t="b">
        <v>0</v>
      </c>
      <c r="AC58" s="38" t="b">
        <v>0</v>
      </c>
      <c r="AD58" s="38" t="b">
        <v>0</v>
      </c>
      <c r="AE58" s="38" t="b">
        <v>0</v>
      </c>
      <c r="AF58" s="38" t="b">
        <v>0</v>
      </c>
      <c r="AG58" s="38" t="b">
        <v>0</v>
      </c>
      <c r="AH58" s="38" t="b">
        <v>0</v>
      </c>
      <c r="AI58" s="38" t="b">
        <v>0</v>
      </c>
      <c r="AJ58" s="38" t="b">
        <v>0</v>
      </c>
      <c r="AK58" s="38" t="b">
        <v>0</v>
      </c>
      <c r="AL58" s="38" t="b">
        <v>0</v>
      </c>
      <c r="AM58" s="38" t="b">
        <v>0</v>
      </c>
      <c r="AN58" s="38" t="b">
        <v>0</v>
      </c>
      <c r="AO58" s="25">
        <f t="shared" si="31"/>
        <v>0</v>
      </c>
      <c r="AQ58" s="25">
        <f>IFERROR(__xludf.DUMMYFUNCTION("if(iserror(match(true,J58:AN58,0)),0,len(index(split(substitute(substitute(join("","",J58:AN58)&amp;"","",""TRUE,"",""x""),""FALSE,"","",""),"",""),,counta(split(substitute(substitute(join("","",J58:AN58)&amp;"","",""TRUE,"",""x""),""FALSE,"","",""),"","")))))"),0.0)</f>
        <v>0</v>
      </c>
      <c r="AR58" s="25" t="str">
        <f>IFERROR(__xludf.DUMMYFUNCTION("arrayformula( if( sum(J58:AN58 + 0), max( len( split( concatenate( left(J58:AN58) ), ""F"" ) ) ), ""0"" ) )"),"0")</f>
        <v>0</v>
      </c>
      <c r="AS58" s="26">
        <v>15.0</v>
      </c>
      <c r="AT58" s="27">
        <f t="shared" si="32"/>
        <v>0</v>
      </c>
    </row>
    <row r="59" hidden="1">
      <c r="A59" s="39"/>
      <c r="B59" s="40"/>
      <c r="C59" s="40"/>
      <c r="D59" s="40"/>
      <c r="E59" s="40"/>
      <c r="F59" s="40"/>
      <c r="G59" s="41"/>
      <c r="H59" s="41"/>
      <c r="I59" s="6"/>
      <c r="J59" s="24" t="b">
        <v>0</v>
      </c>
      <c r="K59" s="24" t="b">
        <v>0</v>
      </c>
      <c r="L59" s="24" t="b">
        <v>0</v>
      </c>
      <c r="M59" s="24" t="b">
        <v>0</v>
      </c>
      <c r="N59" s="24" t="b">
        <v>0</v>
      </c>
      <c r="O59" s="24" t="b">
        <v>0</v>
      </c>
      <c r="P59" s="24" t="b">
        <v>0</v>
      </c>
      <c r="Q59" s="24" t="b">
        <v>0</v>
      </c>
      <c r="R59" s="24" t="b">
        <v>0</v>
      </c>
      <c r="S59" s="24" t="b">
        <v>0</v>
      </c>
      <c r="T59" s="24" t="b">
        <v>0</v>
      </c>
      <c r="U59" s="24" t="b">
        <v>0</v>
      </c>
      <c r="V59" s="24" t="b">
        <v>0</v>
      </c>
      <c r="W59" s="38" t="b">
        <v>0</v>
      </c>
      <c r="X59" s="38" t="b">
        <v>0</v>
      </c>
      <c r="Y59" s="38" t="b">
        <v>0</v>
      </c>
      <c r="Z59" s="38" t="b">
        <v>0</v>
      </c>
      <c r="AA59" s="38" t="b">
        <v>0</v>
      </c>
      <c r="AB59" s="38" t="b">
        <v>0</v>
      </c>
      <c r="AC59" s="38" t="b">
        <v>0</v>
      </c>
      <c r="AD59" s="38" t="b">
        <v>0</v>
      </c>
      <c r="AE59" s="38" t="b">
        <v>0</v>
      </c>
      <c r="AF59" s="38" t="b">
        <v>0</v>
      </c>
      <c r="AG59" s="38" t="b">
        <v>0</v>
      </c>
      <c r="AH59" s="38" t="b">
        <v>0</v>
      </c>
      <c r="AI59" s="38" t="b">
        <v>0</v>
      </c>
      <c r="AJ59" s="38" t="b">
        <v>0</v>
      </c>
      <c r="AK59" s="38" t="b">
        <v>0</v>
      </c>
      <c r="AL59" s="38" t="b">
        <v>0</v>
      </c>
      <c r="AM59" s="38" t="b">
        <v>0</v>
      </c>
      <c r="AN59" s="38" t="b">
        <v>0</v>
      </c>
      <c r="AO59" s="25">
        <f t="shared" si="31"/>
        <v>0</v>
      </c>
      <c r="AQ59" s="25">
        <f>IFERROR(__xludf.DUMMYFUNCTION("if(iserror(match(true,J59:AN59,0)),0,len(index(split(substitute(substitute(join("","",J59:AN59)&amp;"","",""TRUE,"",""x""),""FALSE,"","",""),"",""),,counta(split(substitute(substitute(join("","",J59:AN59)&amp;"","",""TRUE,"",""x""),""FALSE,"","",""),"","")))))"),0.0)</f>
        <v>0</v>
      </c>
      <c r="AR59" s="25" t="str">
        <f>IFERROR(__xludf.DUMMYFUNCTION("arrayformula( if( sum(J59:AN59 + 0), max( len( split( concatenate( left(J59:AN59) ), ""F"" ) ) ), ""0"" ) )"),"0")</f>
        <v>0</v>
      </c>
      <c r="AS59" s="26">
        <v>15.0</v>
      </c>
      <c r="AT59" s="27">
        <f t="shared" si="32"/>
        <v>0</v>
      </c>
    </row>
    <row r="60" hidden="1">
      <c r="A60" s="39"/>
      <c r="B60" s="40"/>
      <c r="C60" s="40"/>
      <c r="D60" s="40"/>
      <c r="E60" s="40"/>
      <c r="F60" s="40"/>
      <c r="G60" s="41"/>
      <c r="H60" s="41"/>
      <c r="I60" s="6"/>
      <c r="J60" s="24" t="b">
        <v>0</v>
      </c>
      <c r="K60" s="24" t="b">
        <v>0</v>
      </c>
      <c r="L60" s="24" t="b">
        <v>0</v>
      </c>
      <c r="M60" s="24" t="b">
        <v>0</v>
      </c>
      <c r="N60" s="24" t="b">
        <v>0</v>
      </c>
      <c r="O60" s="24" t="b">
        <v>0</v>
      </c>
      <c r="P60" s="24" t="b">
        <v>0</v>
      </c>
      <c r="Q60" s="24" t="b">
        <v>0</v>
      </c>
      <c r="R60" s="24" t="b">
        <v>0</v>
      </c>
      <c r="S60" s="24" t="b">
        <v>0</v>
      </c>
      <c r="T60" s="24" t="b">
        <v>0</v>
      </c>
      <c r="U60" s="24" t="b">
        <v>0</v>
      </c>
      <c r="V60" s="24" t="b">
        <v>0</v>
      </c>
      <c r="W60" s="38" t="b">
        <v>0</v>
      </c>
      <c r="X60" s="38" t="b">
        <v>0</v>
      </c>
      <c r="Y60" s="38" t="b">
        <v>0</v>
      </c>
      <c r="Z60" s="38" t="b">
        <v>0</v>
      </c>
      <c r="AA60" s="38" t="b">
        <v>0</v>
      </c>
      <c r="AB60" s="38" t="b">
        <v>0</v>
      </c>
      <c r="AC60" s="38" t="b">
        <v>0</v>
      </c>
      <c r="AD60" s="38" t="b">
        <v>0</v>
      </c>
      <c r="AE60" s="38" t="b">
        <v>0</v>
      </c>
      <c r="AF60" s="38" t="b">
        <v>0</v>
      </c>
      <c r="AG60" s="38" t="b">
        <v>0</v>
      </c>
      <c r="AH60" s="38" t="b">
        <v>0</v>
      </c>
      <c r="AI60" s="38" t="b">
        <v>0</v>
      </c>
      <c r="AJ60" s="38" t="b">
        <v>0</v>
      </c>
      <c r="AK60" s="38" t="b">
        <v>0</v>
      </c>
      <c r="AL60" s="38" t="b">
        <v>0</v>
      </c>
      <c r="AM60" s="38" t="b">
        <v>0</v>
      </c>
      <c r="AN60" s="38" t="b">
        <v>0</v>
      </c>
      <c r="AO60" s="25">
        <f t="shared" si="31"/>
        <v>0</v>
      </c>
      <c r="AQ60" s="25">
        <f>IFERROR(__xludf.DUMMYFUNCTION("if(iserror(match(true,J60:AN60,0)),0,len(index(split(substitute(substitute(join("","",J60:AN60)&amp;"","",""TRUE,"",""x""),""FALSE,"","",""),"",""),,counta(split(substitute(substitute(join("","",J60:AN60)&amp;"","",""TRUE,"",""x""),""FALSE,"","",""),"","")))))"),0.0)</f>
        <v>0</v>
      </c>
      <c r="AR60" s="25" t="str">
        <f>IFERROR(__xludf.DUMMYFUNCTION("arrayformula( if( sum(J60:AN60 + 0), max( len( split( concatenate( left(J60:AN60) ), ""F"" ) ) ), ""0"" ) )"),"0")</f>
        <v>0</v>
      </c>
      <c r="AS60" s="26">
        <v>15.0</v>
      </c>
      <c r="AT60" s="27">
        <f t="shared" si="32"/>
        <v>0</v>
      </c>
    </row>
    <row r="61" hidden="1">
      <c r="A61" s="39"/>
      <c r="B61" s="40"/>
      <c r="C61" s="40"/>
      <c r="D61" s="40"/>
      <c r="E61" s="40"/>
      <c r="F61" s="40"/>
      <c r="G61" s="41"/>
      <c r="H61" s="41"/>
      <c r="I61" s="6"/>
      <c r="J61" s="24" t="b">
        <v>0</v>
      </c>
      <c r="K61" s="24" t="b">
        <v>0</v>
      </c>
      <c r="L61" s="24" t="b">
        <v>0</v>
      </c>
      <c r="M61" s="24" t="b">
        <v>0</v>
      </c>
      <c r="N61" s="24" t="b">
        <v>0</v>
      </c>
      <c r="O61" s="24" t="b">
        <v>0</v>
      </c>
      <c r="P61" s="24" t="b">
        <v>0</v>
      </c>
      <c r="Q61" s="24" t="b">
        <v>0</v>
      </c>
      <c r="R61" s="24" t="b">
        <v>0</v>
      </c>
      <c r="S61" s="24" t="b">
        <v>0</v>
      </c>
      <c r="T61" s="24" t="b">
        <v>0</v>
      </c>
      <c r="U61" s="24" t="b">
        <v>0</v>
      </c>
      <c r="V61" s="24" t="b">
        <v>0</v>
      </c>
      <c r="W61" s="38" t="b">
        <v>0</v>
      </c>
      <c r="X61" s="38" t="b">
        <v>0</v>
      </c>
      <c r="Y61" s="38" t="b">
        <v>0</v>
      </c>
      <c r="Z61" s="38" t="b">
        <v>0</v>
      </c>
      <c r="AA61" s="38" t="b">
        <v>0</v>
      </c>
      <c r="AB61" s="38" t="b">
        <v>0</v>
      </c>
      <c r="AC61" s="38" t="b">
        <v>0</v>
      </c>
      <c r="AD61" s="38" t="b">
        <v>0</v>
      </c>
      <c r="AE61" s="38" t="b">
        <v>0</v>
      </c>
      <c r="AF61" s="38" t="b">
        <v>0</v>
      </c>
      <c r="AG61" s="38" t="b">
        <v>0</v>
      </c>
      <c r="AH61" s="38" t="b">
        <v>0</v>
      </c>
      <c r="AI61" s="38" t="b">
        <v>0</v>
      </c>
      <c r="AJ61" s="38" t="b">
        <v>0</v>
      </c>
      <c r="AK61" s="38" t="b">
        <v>0</v>
      </c>
      <c r="AL61" s="38" t="b">
        <v>0</v>
      </c>
      <c r="AM61" s="38" t="b">
        <v>0</v>
      </c>
      <c r="AN61" s="38" t="b">
        <v>0</v>
      </c>
      <c r="AO61" s="25">
        <f t="shared" si="31"/>
        <v>0</v>
      </c>
      <c r="AQ61" s="25">
        <f>IFERROR(__xludf.DUMMYFUNCTION("if(iserror(match(true,J61:AN61,0)),0,len(index(split(substitute(substitute(join("","",J61:AN61)&amp;"","",""TRUE,"",""x""),""FALSE,"","",""),"",""),,counta(split(substitute(substitute(join("","",J61:AN61)&amp;"","",""TRUE,"",""x""),""FALSE,"","",""),"","")))))"),0.0)</f>
        <v>0</v>
      </c>
      <c r="AR61" s="25" t="str">
        <f>IFERROR(__xludf.DUMMYFUNCTION("arrayformula( if( sum(J61:AN61 + 0), max( len( split( concatenate( left(J61:AN61) ), ""F"" ) ) ), ""0"" ) )"),"0")</f>
        <v>0</v>
      </c>
      <c r="AS61" s="26">
        <v>15.0</v>
      </c>
      <c r="AT61" s="27">
        <f t="shared" si="32"/>
        <v>0</v>
      </c>
    </row>
    <row r="62" hidden="1">
      <c r="A62" s="39"/>
      <c r="B62" s="40"/>
      <c r="C62" s="40"/>
      <c r="D62" s="40"/>
      <c r="E62" s="40"/>
      <c r="F62" s="40"/>
      <c r="G62" s="41"/>
      <c r="H62" s="41"/>
      <c r="I62" s="6"/>
      <c r="J62" s="24" t="b">
        <v>0</v>
      </c>
      <c r="K62" s="24" t="b">
        <v>0</v>
      </c>
      <c r="L62" s="24" t="b">
        <v>0</v>
      </c>
      <c r="M62" s="24" t="b">
        <v>0</v>
      </c>
      <c r="N62" s="24" t="b">
        <v>0</v>
      </c>
      <c r="O62" s="24" t="b">
        <v>0</v>
      </c>
      <c r="P62" s="24" t="b">
        <v>0</v>
      </c>
      <c r="Q62" s="24" t="b">
        <v>0</v>
      </c>
      <c r="R62" s="24" t="b">
        <v>0</v>
      </c>
      <c r="S62" s="24" t="b">
        <v>0</v>
      </c>
      <c r="T62" s="24" t="b">
        <v>0</v>
      </c>
      <c r="U62" s="24" t="b">
        <v>0</v>
      </c>
      <c r="V62" s="24" t="b">
        <v>0</v>
      </c>
      <c r="W62" s="38" t="b">
        <v>0</v>
      </c>
      <c r="X62" s="38" t="b">
        <v>0</v>
      </c>
      <c r="Y62" s="38" t="b">
        <v>0</v>
      </c>
      <c r="Z62" s="38" t="b">
        <v>0</v>
      </c>
      <c r="AA62" s="38" t="b">
        <v>0</v>
      </c>
      <c r="AB62" s="38" t="b">
        <v>0</v>
      </c>
      <c r="AC62" s="38" t="b">
        <v>0</v>
      </c>
      <c r="AD62" s="38" t="b">
        <v>0</v>
      </c>
      <c r="AE62" s="38" t="b">
        <v>0</v>
      </c>
      <c r="AF62" s="38" t="b">
        <v>0</v>
      </c>
      <c r="AG62" s="38" t="b">
        <v>0</v>
      </c>
      <c r="AH62" s="38" t="b">
        <v>0</v>
      </c>
      <c r="AI62" s="38" t="b">
        <v>0</v>
      </c>
      <c r="AJ62" s="38" t="b">
        <v>0</v>
      </c>
      <c r="AK62" s="38" t="b">
        <v>0</v>
      </c>
      <c r="AL62" s="38" t="b">
        <v>0</v>
      </c>
      <c r="AM62" s="38" t="b">
        <v>0</v>
      </c>
      <c r="AN62" s="38" t="b">
        <v>0</v>
      </c>
      <c r="AO62" s="25">
        <f t="shared" si="31"/>
        <v>0</v>
      </c>
      <c r="AQ62" s="25">
        <f>IFERROR(__xludf.DUMMYFUNCTION("if(iserror(match(true,J62:AN62,0)),0,len(index(split(substitute(substitute(join("","",J62:AN62)&amp;"","",""TRUE,"",""x""),""FALSE,"","",""),"",""),,counta(split(substitute(substitute(join("","",J62:AN62)&amp;"","",""TRUE,"",""x""),""FALSE,"","",""),"","")))))"),0.0)</f>
        <v>0</v>
      </c>
      <c r="AR62" s="25" t="str">
        <f>IFERROR(__xludf.DUMMYFUNCTION("arrayformula( if( sum(J62:AN62 + 0), max( len( split( concatenate( left(J62:AN62) ), ""F"" ) ) ), ""0"" ) )"),"0")</f>
        <v>0</v>
      </c>
      <c r="AS62" s="26">
        <v>15.0</v>
      </c>
      <c r="AT62" s="27">
        <f t="shared" si="32"/>
        <v>0</v>
      </c>
    </row>
    <row r="63" hidden="1">
      <c r="A63" s="39"/>
      <c r="B63" s="40"/>
      <c r="C63" s="40"/>
      <c r="D63" s="40"/>
      <c r="E63" s="40"/>
      <c r="F63" s="40"/>
      <c r="G63" s="41"/>
      <c r="H63" s="41"/>
      <c r="I63" s="6"/>
      <c r="J63" s="24" t="b">
        <v>0</v>
      </c>
      <c r="K63" s="24" t="b">
        <v>0</v>
      </c>
      <c r="L63" s="24" t="b">
        <v>0</v>
      </c>
      <c r="M63" s="24" t="b">
        <v>0</v>
      </c>
      <c r="N63" s="24" t="b">
        <v>0</v>
      </c>
      <c r="O63" s="24" t="b">
        <v>0</v>
      </c>
      <c r="P63" s="24" t="b">
        <v>0</v>
      </c>
      <c r="Q63" s="24" t="b">
        <v>0</v>
      </c>
      <c r="R63" s="24" t="b">
        <v>0</v>
      </c>
      <c r="S63" s="24" t="b">
        <v>0</v>
      </c>
      <c r="T63" s="24" t="b">
        <v>0</v>
      </c>
      <c r="U63" s="24" t="b">
        <v>0</v>
      </c>
      <c r="V63" s="24" t="b">
        <v>0</v>
      </c>
      <c r="W63" s="38" t="b">
        <v>0</v>
      </c>
      <c r="X63" s="38" t="b">
        <v>0</v>
      </c>
      <c r="Y63" s="38" t="b">
        <v>0</v>
      </c>
      <c r="Z63" s="38" t="b">
        <v>0</v>
      </c>
      <c r="AA63" s="38" t="b">
        <v>0</v>
      </c>
      <c r="AB63" s="38" t="b">
        <v>0</v>
      </c>
      <c r="AC63" s="38" t="b">
        <v>0</v>
      </c>
      <c r="AD63" s="38" t="b">
        <v>0</v>
      </c>
      <c r="AE63" s="38" t="b">
        <v>0</v>
      </c>
      <c r="AF63" s="38" t="b">
        <v>0</v>
      </c>
      <c r="AG63" s="38" t="b">
        <v>0</v>
      </c>
      <c r="AH63" s="38" t="b">
        <v>0</v>
      </c>
      <c r="AI63" s="38" t="b">
        <v>0</v>
      </c>
      <c r="AJ63" s="38" t="b">
        <v>0</v>
      </c>
      <c r="AK63" s="38" t="b">
        <v>0</v>
      </c>
      <c r="AL63" s="38" t="b">
        <v>0</v>
      </c>
      <c r="AM63" s="38" t="b">
        <v>0</v>
      </c>
      <c r="AN63" s="38" t="b">
        <v>0</v>
      </c>
      <c r="AO63" s="25">
        <f t="shared" si="31"/>
        <v>0</v>
      </c>
      <c r="AQ63" s="25">
        <f>IFERROR(__xludf.DUMMYFUNCTION("if(iserror(match(true,J63:AN63,0)),0,len(index(split(substitute(substitute(join("","",J63:AN63)&amp;"","",""TRUE,"",""x""),""FALSE,"","",""),"",""),,counta(split(substitute(substitute(join("","",J63:AN63)&amp;"","",""TRUE,"",""x""),""FALSE,"","",""),"","")))))"),0.0)</f>
        <v>0</v>
      </c>
      <c r="AR63" s="25" t="str">
        <f>IFERROR(__xludf.DUMMYFUNCTION("arrayformula( if( sum(J63:AN63 + 0), max( len( split( concatenate( left(J63:AN63) ), ""F"" ) ) ), ""0"" ) )"),"0")</f>
        <v>0</v>
      </c>
      <c r="AS63" s="26">
        <v>15.0</v>
      </c>
      <c r="AT63" s="27">
        <f t="shared" si="32"/>
        <v>0</v>
      </c>
    </row>
    <row r="64" hidden="1">
      <c r="A64" s="39"/>
      <c r="B64" s="40"/>
      <c r="C64" s="40"/>
      <c r="D64" s="40"/>
      <c r="E64" s="40"/>
      <c r="F64" s="40"/>
      <c r="G64" s="41"/>
      <c r="H64" s="41"/>
      <c r="I64" s="6"/>
      <c r="J64" s="24" t="b">
        <v>0</v>
      </c>
      <c r="K64" s="24" t="b">
        <v>0</v>
      </c>
      <c r="L64" s="24" t="b">
        <v>0</v>
      </c>
      <c r="M64" s="24" t="b">
        <v>0</v>
      </c>
      <c r="N64" s="24" t="b">
        <v>0</v>
      </c>
      <c r="O64" s="24" t="b">
        <v>0</v>
      </c>
      <c r="P64" s="24" t="b">
        <v>0</v>
      </c>
      <c r="Q64" s="24" t="b">
        <v>0</v>
      </c>
      <c r="R64" s="24" t="b">
        <v>0</v>
      </c>
      <c r="S64" s="24" t="b">
        <v>0</v>
      </c>
      <c r="T64" s="24" t="b">
        <v>0</v>
      </c>
      <c r="U64" s="24" t="b">
        <v>0</v>
      </c>
      <c r="V64" s="24" t="b">
        <v>0</v>
      </c>
      <c r="W64" s="38" t="b">
        <v>0</v>
      </c>
      <c r="X64" s="38" t="b">
        <v>0</v>
      </c>
      <c r="Y64" s="38" t="b">
        <v>0</v>
      </c>
      <c r="Z64" s="38" t="b">
        <v>0</v>
      </c>
      <c r="AA64" s="38" t="b">
        <v>0</v>
      </c>
      <c r="AB64" s="38" t="b">
        <v>0</v>
      </c>
      <c r="AC64" s="38" t="b">
        <v>0</v>
      </c>
      <c r="AD64" s="38" t="b">
        <v>0</v>
      </c>
      <c r="AE64" s="38" t="b">
        <v>0</v>
      </c>
      <c r="AF64" s="38" t="b">
        <v>0</v>
      </c>
      <c r="AG64" s="38" t="b">
        <v>0</v>
      </c>
      <c r="AH64" s="38" t="b">
        <v>0</v>
      </c>
      <c r="AI64" s="38" t="b">
        <v>0</v>
      </c>
      <c r="AJ64" s="38" t="b">
        <v>0</v>
      </c>
      <c r="AK64" s="38" t="b">
        <v>0</v>
      </c>
      <c r="AL64" s="38" t="b">
        <v>0</v>
      </c>
      <c r="AM64" s="38" t="b">
        <v>0</v>
      </c>
      <c r="AN64" s="38" t="b">
        <v>0</v>
      </c>
      <c r="AO64" s="25">
        <f t="shared" si="31"/>
        <v>0</v>
      </c>
      <c r="AQ64" s="25">
        <f>IFERROR(__xludf.DUMMYFUNCTION("if(iserror(match(true,J64:AN64,0)),0,len(index(split(substitute(substitute(join("","",J64:AN64)&amp;"","",""TRUE,"",""x""),""FALSE,"","",""),"",""),,counta(split(substitute(substitute(join("","",J64:AN64)&amp;"","",""TRUE,"",""x""),""FALSE,"","",""),"","")))))"),0.0)</f>
        <v>0</v>
      </c>
      <c r="AR64" s="25" t="str">
        <f>IFERROR(__xludf.DUMMYFUNCTION("arrayformula( if( sum(J64:AN64 + 0), max( len( split( concatenate( left(J64:AN64) ), ""F"" ) ) ), ""0"" ) )"),"0")</f>
        <v>0</v>
      </c>
      <c r="AS64" s="26">
        <v>15.0</v>
      </c>
      <c r="AT64" s="27">
        <f t="shared" si="32"/>
        <v>0</v>
      </c>
    </row>
    <row r="65" hidden="1">
      <c r="A65" s="39"/>
      <c r="B65" s="40"/>
      <c r="C65" s="40"/>
      <c r="D65" s="40"/>
      <c r="E65" s="40"/>
      <c r="F65" s="40"/>
      <c r="G65" s="41"/>
      <c r="H65" s="41"/>
      <c r="I65" s="6"/>
      <c r="J65" s="24" t="b">
        <v>0</v>
      </c>
      <c r="K65" s="24" t="b">
        <v>0</v>
      </c>
      <c r="L65" s="24" t="b">
        <v>0</v>
      </c>
      <c r="M65" s="24" t="b">
        <v>0</v>
      </c>
      <c r="N65" s="24" t="b">
        <v>0</v>
      </c>
      <c r="O65" s="24" t="b">
        <v>0</v>
      </c>
      <c r="P65" s="24" t="b">
        <v>0</v>
      </c>
      <c r="Q65" s="24" t="b">
        <v>0</v>
      </c>
      <c r="R65" s="24" t="b">
        <v>0</v>
      </c>
      <c r="S65" s="24" t="b">
        <v>0</v>
      </c>
      <c r="T65" s="24" t="b">
        <v>0</v>
      </c>
      <c r="U65" s="24" t="b">
        <v>0</v>
      </c>
      <c r="V65" s="24" t="b">
        <v>0</v>
      </c>
      <c r="W65" s="38" t="b">
        <v>0</v>
      </c>
      <c r="X65" s="38" t="b">
        <v>0</v>
      </c>
      <c r="Y65" s="38" t="b">
        <v>0</v>
      </c>
      <c r="Z65" s="38" t="b">
        <v>0</v>
      </c>
      <c r="AA65" s="38" t="b">
        <v>0</v>
      </c>
      <c r="AB65" s="38" t="b">
        <v>0</v>
      </c>
      <c r="AC65" s="38" t="b">
        <v>0</v>
      </c>
      <c r="AD65" s="38" t="b">
        <v>0</v>
      </c>
      <c r="AE65" s="38" t="b">
        <v>0</v>
      </c>
      <c r="AF65" s="38" t="b">
        <v>0</v>
      </c>
      <c r="AG65" s="38" t="b">
        <v>0</v>
      </c>
      <c r="AH65" s="38" t="b">
        <v>0</v>
      </c>
      <c r="AI65" s="38" t="b">
        <v>0</v>
      </c>
      <c r="AJ65" s="38" t="b">
        <v>0</v>
      </c>
      <c r="AK65" s="38" t="b">
        <v>0</v>
      </c>
      <c r="AL65" s="38" t="b">
        <v>0</v>
      </c>
      <c r="AM65" s="38" t="b">
        <v>0</v>
      </c>
      <c r="AN65" s="38" t="b">
        <v>0</v>
      </c>
      <c r="AO65" s="25">
        <f t="shared" si="31"/>
        <v>0</v>
      </c>
      <c r="AQ65" s="25">
        <f>IFERROR(__xludf.DUMMYFUNCTION("if(iserror(match(true,J65:AN65,0)),0,len(index(split(substitute(substitute(join("","",J65:AN65)&amp;"","",""TRUE,"",""x""),""FALSE,"","",""),"",""),,counta(split(substitute(substitute(join("","",J65:AN65)&amp;"","",""TRUE,"",""x""),""FALSE,"","",""),"","")))))"),0.0)</f>
        <v>0</v>
      </c>
      <c r="AR65" s="25" t="str">
        <f>IFERROR(__xludf.DUMMYFUNCTION("arrayformula( if( sum(J65:AN65 + 0), max( len( split( concatenate( left(J65:AN65) ), ""F"" ) ) ), ""0"" ) )"),"0")</f>
        <v>0</v>
      </c>
      <c r="AS65" s="26">
        <v>15.0</v>
      </c>
      <c r="AT65" s="27">
        <f t="shared" si="32"/>
        <v>0</v>
      </c>
    </row>
    <row r="66" hidden="1">
      <c r="A66" s="39"/>
      <c r="B66" s="40"/>
      <c r="C66" s="40"/>
      <c r="D66" s="40"/>
      <c r="E66" s="40"/>
      <c r="F66" s="40"/>
      <c r="G66" s="41"/>
      <c r="H66" s="41"/>
      <c r="I66" s="6"/>
      <c r="J66" s="24" t="b">
        <v>0</v>
      </c>
      <c r="K66" s="24" t="b">
        <v>0</v>
      </c>
      <c r="L66" s="24" t="b">
        <v>0</v>
      </c>
      <c r="M66" s="24" t="b">
        <v>0</v>
      </c>
      <c r="N66" s="24" t="b">
        <v>0</v>
      </c>
      <c r="O66" s="24" t="b">
        <v>0</v>
      </c>
      <c r="P66" s="24" t="b">
        <v>0</v>
      </c>
      <c r="Q66" s="24" t="b">
        <v>0</v>
      </c>
      <c r="R66" s="24" t="b">
        <v>0</v>
      </c>
      <c r="S66" s="24" t="b">
        <v>0</v>
      </c>
      <c r="T66" s="24" t="b">
        <v>0</v>
      </c>
      <c r="U66" s="24" t="b">
        <v>0</v>
      </c>
      <c r="V66" s="24" t="b">
        <v>0</v>
      </c>
      <c r="W66" s="38" t="b">
        <v>0</v>
      </c>
      <c r="X66" s="38" t="b">
        <v>0</v>
      </c>
      <c r="Y66" s="38" t="b">
        <v>0</v>
      </c>
      <c r="Z66" s="38" t="b">
        <v>0</v>
      </c>
      <c r="AA66" s="38" t="b">
        <v>0</v>
      </c>
      <c r="AB66" s="38" t="b">
        <v>0</v>
      </c>
      <c r="AC66" s="38" t="b">
        <v>0</v>
      </c>
      <c r="AD66" s="38" t="b">
        <v>0</v>
      </c>
      <c r="AE66" s="38" t="b">
        <v>0</v>
      </c>
      <c r="AF66" s="38" t="b">
        <v>0</v>
      </c>
      <c r="AG66" s="38" t="b">
        <v>0</v>
      </c>
      <c r="AH66" s="38" t="b">
        <v>0</v>
      </c>
      <c r="AI66" s="38" t="b">
        <v>0</v>
      </c>
      <c r="AJ66" s="38" t="b">
        <v>0</v>
      </c>
      <c r="AK66" s="38" t="b">
        <v>0</v>
      </c>
      <c r="AL66" s="38" t="b">
        <v>0</v>
      </c>
      <c r="AM66" s="38" t="b">
        <v>0</v>
      </c>
      <c r="AN66" s="38" t="b">
        <v>0</v>
      </c>
      <c r="AO66" s="25">
        <f t="shared" si="31"/>
        <v>0</v>
      </c>
      <c r="AQ66" s="25">
        <f>IFERROR(__xludf.DUMMYFUNCTION("if(iserror(match(true,J66:AN66,0)),0,len(index(split(substitute(substitute(join("","",J66:AN66)&amp;"","",""TRUE,"",""x""),""FALSE,"","",""),"",""),,counta(split(substitute(substitute(join("","",J66:AN66)&amp;"","",""TRUE,"",""x""),""FALSE,"","",""),"","")))))"),0.0)</f>
        <v>0</v>
      </c>
      <c r="AR66" s="25" t="str">
        <f>IFERROR(__xludf.DUMMYFUNCTION("arrayformula( if( sum(J66:AN66 + 0), max( len( split( concatenate( left(J66:AN66) ), ""F"" ) ) ), ""0"" ) )"),"0")</f>
        <v>0</v>
      </c>
      <c r="AS66" s="26">
        <v>15.0</v>
      </c>
      <c r="AT66" s="27">
        <f t="shared" si="32"/>
        <v>0</v>
      </c>
    </row>
    <row r="67" hidden="1">
      <c r="A67" s="39"/>
      <c r="B67" s="40"/>
      <c r="C67" s="40"/>
      <c r="D67" s="40"/>
      <c r="E67" s="40"/>
      <c r="F67" s="40"/>
      <c r="G67" s="41"/>
      <c r="H67" s="41"/>
      <c r="I67" s="6"/>
      <c r="J67" s="24" t="b">
        <v>0</v>
      </c>
      <c r="K67" s="24" t="b">
        <v>0</v>
      </c>
      <c r="L67" s="24" t="b">
        <v>0</v>
      </c>
      <c r="M67" s="24" t="b">
        <v>0</v>
      </c>
      <c r="N67" s="24" t="b">
        <v>0</v>
      </c>
      <c r="O67" s="24" t="b">
        <v>0</v>
      </c>
      <c r="P67" s="24" t="b">
        <v>0</v>
      </c>
      <c r="Q67" s="24" t="b">
        <v>0</v>
      </c>
      <c r="R67" s="24" t="b">
        <v>0</v>
      </c>
      <c r="S67" s="24" t="b">
        <v>0</v>
      </c>
      <c r="T67" s="24" t="b">
        <v>0</v>
      </c>
      <c r="U67" s="24" t="b">
        <v>0</v>
      </c>
      <c r="V67" s="24" t="b">
        <v>0</v>
      </c>
      <c r="W67" s="38" t="b">
        <v>0</v>
      </c>
      <c r="X67" s="38" t="b">
        <v>0</v>
      </c>
      <c r="Y67" s="38" t="b">
        <v>0</v>
      </c>
      <c r="Z67" s="38" t="b">
        <v>0</v>
      </c>
      <c r="AA67" s="38" t="b">
        <v>0</v>
      </c>
      <c r="AB67" s="38" t="b">
        <v>0</v>
      </c>
      <c r="AC67" s="38" t="b">
        <v>0</v>
      </c>
      <c r="AD67" s="38" t="b">
        <v>0</v>
      </c>
      <c r="AE67" s="38" t="b">
        <v>0</v>
      </c>
      <c r="AF67" s="38" t="b">
        <v>0</v>
      </c>
      <c r="AG67" s="38" t="b">
        <v>0</v>
      </c>
      <c r="AH67" s="38" t="b">
        <v>0</v>
      </c>
      <c r="AI67" s="38" t="b">
        <v>0</v>
      </c>
      <c r="AJ67" s="38" t="b">
        <v>0</v>
      </c>
      <c r="AK67" s="38" t="b">
        <v>0</v>
      </c>
      <c r="AL67" s="38" t="b">
        <v>0</v>
      </c>
      <c r="AM67" s="38" t="b">
        <v>0</v>
      </c>
      <c r="AN67" s="38" t="b">
        <v>0</v>
      </c>
      <c r="AO67" s="25">
        <f t="shared" si="31"/>
        <v>0</v>
      </c>
      <c r="AQ67" s="25">
        <f>IFERROR(__xludf.DUMMYFUNCTION("if(iserror(match(true,J67:AN67,0)),0,len(index(split(substitute(substitute(join("","",J67:AN67)&amp;"","",""TRUE,"",""x""),""FALSE,"","",""),"",""),,counta(split(substitute(substitute(join("","",J67:AN67)&amp;"","",""TRUE,"",""x""),""FALSE,"","",""),"","")))))"),0.0)</f>
        <v>0</v>
      </c>
      <c r="AR67" s="25" t="str">
        <f>IFERROR(__xludf.DUMMYFUNCTION("arrayformula( if( sum(J67:AN67 + 0), max( len( split( concatenate( left(J67:AN67) ), ""F"" ) ) ), ""0"" ) )"),"0")</f>
        <v>0</v>
      </c>
      <c r="AS67" s="26">
        <v>15.0</v>
      </c>
      <c r="AT67" s="27">
        <f t="shared" si="32"/>
        <v>0</v>
      </c>
    </row>
    <row r="68" hidden="1">
      <c r="A68" s="39"/>
      <c r="B68" s="40"/>
      <c r="C68" s="40"/>
      <c r="D68" s="40"/>
      <c r="E68" s="40"/>
      <c r="F68" s="40"/>
      <c r="G68" s="41"/>
      <c r="H68" s="41"/>
      <c r="I68" s="6"/>
      <c r="J68" s="24" t="b">
        <v>0</v>
      </c>
      <c r="K68" s="24" t="b">
        <v>0</v>
      </c>
      <c r="L68" s="24" t="b">
        <v>0</v>
      </c>
      <c r="M68" s="24" t="b">
        <v>0</v>
      </c>
      <c r="N68" s="24" t="b">
        <v>0</v>
      </c>
      <c r="O68" s="24" t="b">
        <v>0</v>
      </c>
      <c r="P68" s="24" t="b">
        <v>0</v>
      </c>
      <c r="Q68" s="24" t="b">
        <v>0</v>
      </c>
      <c r="R68" s="24" t="b">
        <v>0</v>
      </c>
      <c r="S68" s="24" t="b">
        <v>0</v>
      </c>
      <c r="T68" s="24" t="b">
        <v>0</v>
      </c>
      <c r="U68" s="24" t="b">
        <v>0</v>
      </c>
      <c r="V68" s="24" t="b">
        <v>0</v>
      </c>
      <c r="W68" s="38" t="b">
        <v>0</v>
      </c>
      <c r="X68" s="38" t="b">
        <v>0</v>
      </c>
      <c r="Y68" s="38" t="b">
        <v>0</v>
      </c>
      <c r="Z68" s="38" t="b">
        <v>0</v>
      </c>
      <c r="AA68" s="38" t="b">
        <v>0</v>
      </c>
      <c r="AB68" s="38" t="b">
        <v>0</v>
      </c>
      <c r="AC68" s="38" t="b">
        <v>0</v>
      </c>
      <c r="AD68" s="38" t="b">
        <v>0</v>
      </c>
      <c r="AE68" s="38" t="b">
        <v>0</v>
      </c>
      <c r="AF68" s="38" t="b">
        <v>0</v>
      </c>
      <c r="AG68" s="38" t="b">
        <v>0</v>
      </c>
      <c r="AH68" s="24" t="b">
        <v>0</v>
      </c>
      <c r="AI68" s="24" t="b">
        <v>0</v>
      </c>
      <c r="AJ68" s="38" t="b">
        <v>0</v>
      </c>
      <c r="AK68" s="38" t="b">
        <v>0</v>
      </c>
      <c r="AL68" s="38" t="b">
        <v>0</v>
      </c>
      <c r="AM68" s="38" t="b">
        <v>0</v>
      </c>
      <c r="AN68" s="38" t="b">
        <v>0</v>
      </c>
      <c r="AO68" s="25">
        <f t="shared" si="31"/>
        <v>0</v>
      </c>
      <c r="AQ68" s="25">
        <f>IFERROR(__xludf.DUMMYFUNCTION("if(iserror(match(true,J68:AN68,0)),0,len(index(split(substitute(substitute(join("","",J68:AN68)&amp;"","",""TRUE,"",""x""),""FALSE,"","",""),"",""),,counta(split(substitute(substitute(join("","",J68:AN68)&amp;"","",""TRUE,"",""x""),""FALSE,"","",""),"","")))))"),0.0)</f>
        <v>0</v>
      </c>
      <c r="AR68" s="25" t="str">
        <f>IFERROR(__xludf.DUMMYFUNCTION("arrayformula( if( sum(J68:AN68 + 0), max( len( split( concatenate( left(J68:AN68) ), ""F"" ) ) ), ""0"" ) )"),"0")</f>
        <v>0</v>
      </c>
      <c r="AS68" s="26">
        <v>15.0</v>
      </c>
      <c r="AT68" s="27">
        <f t="shared" si="32"/>
        <v>0</v>
      </c>
    </row>
    <row r="69">
      <c r="A69" s="45"/>
      <c r="B69" s="45"/>
      <c r="C69" s="45"/>
      <c r="D69" s="45"/>
      <c r="E69" s="45"/>
      <c r="F69" s="45"/>
      <c r="G69" s="45"/>
      <c r="H69" s="45"/>
      <c r="I69" s="45"/>
      <c r="J69" s="24" t="str">
        <f t="array" ref="J69">IF(COUNTIF(J49:J68, "TRUE") = 1, Setup!$E$4, 
IF(COUNTIF(J49:J68, "TRUE") = 0, Setup!$E$3,
IF(COUNTIF(J49:J68, "TRUE") = 2, Setup!$E$5, 
IF(COUNTIF(J49:J68, "TRUE") = 3, Setup!$E$6, 
IF(COUNTIF(J49:J68, "TRUE") = 4, Setup!$E$7, 
IF(COUNTIF(J49:J68, "TRUE") = 5, Setup!$E$8, 
IF(COUNTIF(J49:J68, "TRUE") &gt;= 6, Setup!$E$9)))
))))</f>
        <v/>
      </c>
      <c r="K69" s="24" t="str">
        <f t="array" ref="K69">IF(COUNTIF(K49:K68, "TRUE") = 1, Setup!$E$4, 
IF(COUNTIF(K49:K68, "TRUE") = 0, Setup!$E$3,
IF(COUNTIF(K49:K68, "TRUE") = 2, Setup!$E$5, 
IF(COUNTIF(K49:K68, "TRUE") = 3, Setup!$E$6, 
IF(COUNTIF(K49:K68, "TRUE") = 4, Setup!$E$7, 
IF(COUNTIF(K49:K68, "TRUE") = 5, Setup!$E$8, 
IF(COUNTIF(K49:K68, "TRUE") &gt;= 6, Setup!$E$9)))
))))</f>
        <v/>
      </c>
      <c r="L69" s="24" t="str">
        <f t="array" ref="L69">IF(COUNTIF(L49:L68, "TRUE") = 1, Setup!$E$4, 
IF(COUNTIF(L49:L68, "TRUE") = 0, Setup!$E$3,
IF(COUNTIF(L49:L68, "TRUE") = 2, Setup!$E$5, 
IF(COUNTIF(L49:L68, "TRUE") = 3, Setup!$E$6, 
IF(COUNTIF(L49:L68, "TRUE") = 4, Setup!$E$7, 
IF(COUNTIF(L49:L68, "TRUE") = 5, Setup!$E$8, 
IF(COUNTIF(L49:L68, "TRUE") &gt;= 6, Setup!$E$9)))
))))</f>
        <v/>
      </c>
      <c r="M69" s="24" t="str">
        <f t="array" ref="M69">IF(COUNTIF(M49:M68, "TRUE") = 1, Setup!$E$4, 
IF(COUNTIF(M49:M68, "TRUE") = 0, Setup!$E$3,
IF(COUNTIF(M49:M68, "TRUE") = 2, Setup!$E$5, 
IF(COUNTIF(M49:M68, "TRUE") = 3, Setup!$E$6, 
IF(COUNTIF(M49:M68, "TRUE") = 4, Setup!$E$7, 
IF(COUNTIF(M49:M68, "TRUE") = 5, Setup!$E$8, 
IF(COUNTIF(M49:M68, "TRUE") &gt;= 6, Setup!$E$9)))
))))</f>
        <v/>
      </c>
      <c r="N69" s="24" t="str">
        <f t="array" ref="N69">IF(COUNTIF(N49:N68, "TRUE") = 1, Setup!$E$4, 
IF(COUNTIF(N49:N68, "TRUE") = 0, Setup!$E$3,
IF(COUNTIF(N49:N68, "TRUE") = 2, Setup!$E$5, 
IF(COUNTIF(N49:N68, "TRUE") = 3, Setup!$E$6, 
IF(COUNTIF(N49:N68, "TRUE") = 4, Setup!$E$7, 
IF(COUNTIF(N49:N68, "TRUE") = 5, Setup!$E$8, 
IF(COUNTIF(N49:N68, "TRUE") &gt;= 6, Setup!$E$9)))
))))</f>
        <v/>
      </c>
      <c r="O69" s="24" t="str">
        <f t="array" ref="O69">IF(COUNTIF(O49:O68, "TRUE") = 1, Setup!$E$4, 
IF(COUNTIF(O49:O68, "TRUE") = 0, Setup!$E$3,
IF(COUNTIF(O49:O68, "TRUE") = 2, Setup!$E$5, 
IF(COUNTIF(O49:O68, "TRUE") = 3, Setup!$E$6, 
IF(COUNTIF(O49:O68, "TRUE") = 4, Setup!$E$7, 
IF(COUNTIF(O49:O68, "TRUE") = 5, Setup!$E$8, 
IF(COUNTIF(O49:O68, "TRUE") &gt;= 6, Setup!$E$9)))
))))</f>
        <v/>
      </c>
      <c r="P69" s="24" t="str">
        <f t="array" ref="P69">IF(COUNTIF(P49:P68, "TRUE") = 1, Setup!$E$4, 
IF(COUNTIF(P49:P68, "TRUE") = 0, Setup!$E$3,
IF(COUNTIF(P49:P68, "TRUE") = 2, Setup!$E$5, 
IF(COUNTIF(P49:P68, "TRUE") = 3, Setup!$E$6, 
IF(COUNTIF(P49:P68, "TRUE") = 4, Setup!$E$7, 
IF(COUNTIF(P49:P68, "TRUE") = 5, Setup!$E$8, 
IF(COUNTIF(P49:P68, "TRUE") &gt;= 6, Setup!$E$9)))
))))</f>
        <v/>
      </c>
      <c r="Q69" s="24" t="str">
        <f t="array" ref="Q69">IF(COUNTIF(Q49:Q68, "TRUE") = 1, Setup!$E$4, 
IF(COUNTIF(Q49:Q68, "TRUE") = 0, Setup!$E$3,
IF(COUNTIF(Q49:Q68, "TRUE") = 2, Setup!$E$5, 
IF(COUNTIF(Q49:Q68, "TRUE") = 3, Setup!$E$6, 
IF(COUNTIF(Q49:Q68, "TRUE") = 4, Setup!$E$7, 
IF(COUNTIF(Q49:Q68, "TRUE") = 5, Setup!$E$8, 
IF(COUNTIF(Q49:Q68, "TRUE") &gt;= 6, Setup!$E$9)))
))))</f>
        <v/>
      </c>
      <c r="R69" s="24" t="str">
        <f t="array" ref="R69">IF(COUNTIF(R49:R68, "TRUE") = 1, Setup!$E$4, 
IF(COUNTIF(R49:R68, "TRUE") = 0, Setup!$E$3,
IF(COUNTIF(R49:R68, "TRUE") = 2, Setup!$E$5, 
IF(COUNTIF(R49:R68, "TRUE") = 3, Setup!$E$6, 
IF(COUNTIF(R49:R68, "TRUE") = 4, Setup!$E$7, 
IF(COUNTIF(R49:R68, "TRUE") = 5, Setup!$E$8, 
IF(COUNTIF(R49:R68, "TRUE") &gt;= 6, Setup!$E$9)))
))))</f>
        <v/>
      </c>
      <c r="S69" s="24" t="str">
        <f t="array" ref="S69">IF(COUNTIF(S49:S68, "TRUE") = 1, Setup!$E$4, 
IF(COUNTIF(S49:S68, "TRUE") = 0, Setup!$E$3,
IF(COUNTIF(S49:S68, "TRUE") = 2, Setup!$E$5, 
IF(COUNTIF(S49:S68, "TRUE") = 3, Setup!$E$6, 
IF(COUNTIF(S49:S68, "TRUE") = 4, Setup!$E$7, 
IF(COUNTIF(S49:S68, "TRUE") = 5, Setup!$E$8, 
IF(COUNTIF(S49:S68, "TRUE") &gt;= 6, Setup!$E$9)))
))))</f>
        <v/>
      </c>
      <c r="T69" s="24" t="str">
        <f t="array" ref="T69">IF(COUNTIF(T49:T68, "TRUE") = 1, Setup!$E$4, 
IF(COUNTIF(T49:T68, "TRUE") = 0, Setup!$E$3,
IF(COUNTIF(T49:T68, "TRUE") = 2, Setup!$E$5, 
IF(COUNTIF(T49:T68, "TRUE") = 3, Setup!$E$6, 
IF(COUNTIF(T49:T68, "TRUE") = 4, Setup!$E$7, 
IF(COUNTIF(T49:T68, "TRUE") = 5, Setup!$E$8, 
IF(COUNTIF(T49:T68, "TRUE") &gt;= 6, Setup!$E$9)))
))))</f>
        <v/>
      </c>
      <c r="U69" s="24" t="str">
        <f t="array" ref="U69">IF(COUNTIF(U49:U68, "TRUE") = 1, Setup!$E$4, 
IF(COUNTIF(U49:U68, "TRUE") = 0, Setup!$E$3,
IF(COUNTIF(U49:U68, "TRUE") = 2, Setup!$E$5, 
IF(COUNTIF(U49:U68, "TRUE") = 3, Setup!$E$6, 
IF(COUNTIF(U49:U68, "TRUE") = 4, Setup!$E$7, 
IF(COUNTIF(U49:U68, "TRUE") = 5, Setup!$E$8, 
IF(COUNTIF(U49:U68, "TRUE") &gt;= 6, Setup!$E$9)))
))))</f>
        <v/>
      </c>
      <c r="V69" s="24" t="str">
        <f t="array" ref="V69">IF(COUNTIF(V49:V68, "TRUE") = 1, Setup!$E$4, 
IF(COUNTIF(V49:V68, "TRUE") = 0, Setup!$E$3,
IF(COUNTIF(V49:V68, "TRUE") = 2, Setup!$E$5, 
IF(COUNTIF(V49:V68, "TRUE") = 3, Setup!$E$6, 
IF(COUNTIF(V49:V68, "TRUE") = 4, Setup!$E$7, 
IF(COUNTIF(V49:V68, "TRUE") = 5, Setup!$E$8, 
IF(COUNTIF(V49:V68, "TRUE") &gt;= 6, Setup!$E$9)))
))))</f>
        <v/>
      </c>
      <c r="W69" s="24" t="str">
        <f t="array" ref="W69">IF(COUNTIF(W49:W68, "TRUE") = 1, Setup!$E$4, 
IF(COUNTIF(W49:W68, "TRUE") = 0, Setup!$E$3,
IF(COUNTIF(W49:W68, "TRUE") = 2, Setup!$E$5, 
IF(COUNTIF(W49:W68, "TRUE") = 3, Setup!$E$6, 
IF(COUNTIF(W49:W68, "TRUE") = 4, Setup!$E$7, 
IF(COUNTIF(W49:W68, "TRUE") = 5, Setup!$E$8, 
IF(COUNTIF(W49:W68, "TRUE") &gt;= 6, Setup!$E$9)))
))))</f>
        <v/>
      </c>
      <c r="X69" s="24" t="str">
        <f t="array" ref="X69">IF(COUNTIF(X49:X68, "TRUE") = 1, Setup!$E$4, 
IF(COUNTIF(X49:X68, "TRUE") = 0, Setup!$E$3,
IF(COUNTIF(X49:X68, "TRUE") = 2, Setup!$E$5, 
IF(COUNTIF(X49:X68, "TRUE") = 3, Setup!$E$6, 
IF(COUNTIF(X49:X68, "TRUE") = 4, Setup!$E$7, 
IF(COUNTIF(X49:X68, "TRUE") = 5, Setup!$E$8, 
IF(COUNTIF(X49:X68, "TRUE") &gt;= 6, Setup!$E$9)))
))))</f>
        <v/>
      </c>
      <c r="Y69" s="24" t="str">
        <f t="array" ref="Y69">IF(COUNTIF(Y49:Y68, "TRUE") = 1, Setup!$E$4, 
IF(COUNTIF(Y49:Y68, "TRUE") = 0, Setup!$E$3,
IF(COUNTIF(Y49:Y68, "TRUE") = 2, Setup!$E$5, 
IF(COUNTIF(Y49:Y68, "TRUE") = 3, Setup!$E$6, 
IF(COUNTIF(Y49:Y68, "TRUE") = 4, Setup!$E$7, 
IF(COUNTIF(Y49:Y68, "TRUE") = 5, Setup!$E$8, 
IF(COUNTIF(Y49:Y68, "TRUE") &gt;= 6, Setup!$E$9)))
))))</f>
        <v/>
      </c>
      <c r="Z69" s="24" t="str">
        <f t="array" ref="Z69">IF(COUNTIF(Z49:Z68, "TRUE") = 1, Setup!$E$4, 
IF(COUNTIF(Z49:Z68, "TRUE") = 0, Setup!$E$3,
IF(COUNTIF(Z49:Z68, "TRUE") = 2, Setup!$E$5, 
IF(COUNTIF(Z49:Z68, "TRUE") = 3, Setup!$E$6, 
IF(COUNTIF(Z49:Z68, "TRUE") = 4, Setup!$E$7, 
IF(COUNTIF(Z49:Z68, "TRUE") = 5, Setup!$E$8, 
IF(COUNTIF(Z49:Z68, "TRUE") &gt;= 6, Setup!$E$9)))
))))</f>
        <v/>
      </c>
      <c r="AA69" s="24" t="str">
        <f t="array" ref="AA69">IF(COUNTIF(AA49:AA68, "TRUE") = 1, Setup!$E$4, 
IF(COUNTIF(AA49:AA68, "TRUE") = 0, Setup!$E$3,
IF(COUNTIF(AA49:AA68, "TRUE") = 2, Setup!$E$5, 
IF(COUNTIF(AA49:AA68, "TRUE") = 3, Setup!$E$6, 
IF(COUNTIF(AA49:AA68, "TRUE") = 4, Setup!$E$7, 
IF(COUNTIF(AA49:AA68, "TRUE") = 5, Setup!$E$8, 
IF(COUNTIF(AA49:AA68, "TRUE") &gt;= 6, Setup!$E$9)))
))))</f>
        <v/>
      </c>
      <c r="AB69" s="24" t="str">
        <f t="array" ref="AB69">IF(COUNTIF(AB49:AB68, "TRUE") = 1, Setup!$E$4, 
IF(COUNTIF(AB49:AB68, "TRUE") = 0, Setup!$E$3,
IF(COUNTIF(AB49:AB68, "TRUE") = 2, Setup!$E$5, 
IF(COUNTIF(AB49:AB68, "TRUE") = 3, Setup!$E$6, 
IF(COUNTIF(AB49:AB68, "TRUE") = 4, Setup!$E$7, 
IF(COUNTIF(AB49:AB68, "TRUE") = 5, Setup!$E$8, 
IF(COUNTIF(AB49:AB68, "TRUE") &gt;= 6, Setup!$E$9)))
))))</f>
        <v/>
      </c>
      <c r="AC69" s="24" t="str">
        <f t="array" ref="AC69">IF(COUNTIF(AC49:AC68, "TRUE") = 1, Setup!$E$4, 
IF(COUNTIF(AC49:AC68, "TRUE") = 0, Setup!$E$3,
IF(COUNTIF(AC49:AC68, "TRUE") = 2, Setup!$E$5, 
IF(COUNTIF(AC49:AC68, "TRUE") = 3, Setup!$E$6, 
IF(COUNTIF(AC49:AC68, "TRUE") = 4, Setup!$E$7, 
IF(COUNTIF(AC49:AC68, "TRUE") = 5, Setup!$E$8, 
IF(COUNTIF(AC49:AC68, "TRUE") &gt;= 6, Setup!$E$9)))
))))</f>
        <v/>
      </c>
      <c r="AD69" s="24" t="str">
        <f t="array" ref="AD69">IF(COUNTIF(AD49:AD68, "TRUE") = 1, Setup!$E$4, 
IF(COUNTIF(AD49:AD68, "TRUE") = 0, Setup!$E$3,
IF(COUNTIF(AD49:AD68, "TRUE") = 2, Setup!$E$5, 
IF(COUNTIF(AD49:AD68, "TRUE") = 3, Setup!$E$6, 
IF(COUNTIF(AD49:AD68, "TRUE") = 4, Setup!$E$7, 
IF(COUNTIF(AD49:AD68, "TRUE") = 5, Setup!$E$8, 
IF(COUNTIF(AD49:AD68, "TRUE") &gt;= 6, Setup!$E$9)))
))))</f>
        <v/>
      </c>
      <c r="AE69" s="24" t="str">
        <f t="array" ref="AE69">IF(COUNTIF(AE49:AE68, "TRUE") = 1, Setup!$E$4, 
IF(COUNTIF(AE49:AE68, "TRUE") = 0, Setup!$E$3,
IF(COUNTIF(AE49:AE68, "TRUE") = 2, Setup!$E$5, 
IF(COUNTIF(AE49:AE68, "TRUE") = 3, Setup!$E$6, 
IF(COUNTIF(AE49:AE68, "TRUE") = 4, Setup!$E$7, 
IF(COUNTIF(AE49:AE68, "TRUE") = 5, Setup!$E$8, 
IF(COUNTIF(AE49:AE68, "TRUE") &gt;= 6, Setup!$E$9)))
))))</f>
        <v/>
      </c>
      <c r="AF69" s="24" t="str">
        <f t="array" ref="AF69">IF(COUNTIF(AF49:AF68, "TRUE") = 1, Setup!$E$4, 
IF(COUNTIF(AF49:AF68, "TRUE") = 0, Setup!$E$3,
IF(COUNTIF(AF49:AF68, "TRUE") = 2, Setup!$E$5, 
IF(COUNTIF(AF49:AF68, "TRUE") = 3, Setup!$E$6, 
IF(COUNTIF(AF49:AF68, "TRUE") = 4, Setup!$E$7, 
IF(COUNTIF(AF49:AF68, "TRUE") = 5, Setup!$E$8, 
IF(COUNTIF(AF49:AF68, "TRUE") &gt;= 6, Setup!$E$9)))
))))</f>
        <v/>
      </c>
      <c r="AG69" s="24" t="str">
        <f t="array" ref="AG69">IF(COUNTIF(AG49:AG68, "TRUE") = 1, Setup!$E$4, 
IF(COUNTIF(AG49:AG68, "TRUE") = 0, Setup!$E$3,
IF(COUNTIF(AG49:AG68, "TRUE") = 2, Setup!$E$5, 
IF(COUNTIF(AG49:AG68, "TRUE") = 3, Setup!$E$6, 
IF(COUNTIF(AG49:AG68, "TRUE") = 4, Setup!$E$7, 
IF(COUNTIF(AG49:AG68, "TRUE") = 5, Setup!$E$8, 
IF(COUNTIF(AG49:AG68, "TRUE") &gt;= 6, Setup!$E$9)))
))))</f>
        <v/>
      </c>
      <c r="AH69" s="24" t="str">
        <f t="array" ref="AH69">IF(COUNTIF(AH49:AH68, "TRUE") = 1, Setup!$E$4, 
IF(COUNTIF(AH49:AH68, "TRUE") = 0, Setup!$E$3,
IF(COUNTIF(AH49:AH68, "TRUE") = 2, Setup!$E$5, 
IF(COUNTIF(AH49:AH68, "TRUE") = 3, Setup!$E$6, 
IF(COUNTIF(AH49:AH68, "TRUE") = 4, Setup!$E$7, 
IF(COUNTIF(AH49:AH68, "TRUE") = 5, Setup!$E$8, 
IF(COUNTIF(AH49:AH68, "TRUE") &gt;= 6, Setup!$E$9)))
))))</f>
        <v/>
      </c>
      <c r="AI69" s="24" t="str">
        <f t="array" ref="AI69">IF(COUNTIF(AI49:AI68, "TRUE") = 1, Setup!$E$4, 
IF(COUNTIF(AI49:AI68, "TRUE") = 0, Setup!$E$3,
IF(COUNTIF(AI49:AI68, "TRUE") = 2, Setup!$E$5, 
IF(COUNTIF(AI49:AI68, "TRUE") = 3, Setup!$E$6, 
IF(COUNTIF(AI49:AI68, "TRUE") = 4, Setup!$E$7, 
IF(COUNTIF(AI49:AI68, "TRUE") = 5, Setup!$E$8, 
IF(COUNTIF(AI49:AI68, "TRUE") &gt;= 6, Setup!$E$9)))
))))</f>
        <v/>
      </c>
      <c r="AJ69" s="24" t="str">
        <f t="array" ref="AJ69">IF(COUNTIF(AJ49:AJ68, "TRUE") = 1, Setup!$E$4, 
IF(COUNTIF(AJ49:AJ68, "TRUE") = 0, Setup!$E$3,
IF(COUNTIF(AJ49:AJ68, "TRUE") = 2, Setup!$E$5, 
IF(COUNTIF(AJ49:AJ68, "TRUE") = 3, Setup!$E$6, 
IF(COUNTIF(AJ49:AJ68, "TRUE") = 4, Setup!$E$7, 
IF(COUNTIF(AJ49:AJ68, "TRUE") = 5, Setup!$E$8, 
IF(COUNTIF(AJ49:AJ68, "TRUE") &gt;= 6, Setup!$E$9)))
))))</f>
        <v/>
      </c>
      <c r="AK69" s="24" t="str">
        <f t="array" ref="AK69">IF(COUNTIF(AK49:AK68, "TRUE") = 1, Setup!$E$4, 
IF(COUNTIF(AK49:AK68, "TRUE") = 0, Setup!$E$3,
IF(COUNTIF(AK49:AK68, "TRUE") = 2, Setup!$E$5, 
IF(COUNTIF(AK49:AK68, "TRUE") = 3, Setup!$E$6, 
IF(COUNTIF(AK49:AK68, "TRUE") = 4, Setup!$E$7, 
IF(COUNTIF(AK49:AK68, "TRUE") = 5, Setup!$E$8, 
IF(COUNTIF(AK49:AK68, "TRUE") &gt;= 6, Setup!$E$9)))
))))</f>
        <v/>
      </c>
      <c r="AL69" s="24" t="str">
        <f t="array" ref="AL69">IF(COUNTIF(AL49:AL68, "TRUE") = 1, Setup!$E$4, 
IF(COUNTIF(AL49:AL68, "TRUE") = 0, Setup!$E$3,
IF(COUNTIF(AL49:AL68, "TRUE") = 2, Setup!$E$5, 
IF(COUNTIF(AL49:AL68, "TRUE") = 3, Setup!$E$6, 
IF(COUNTIF(AL49:AL68, "TRUE") = 4, Setup!$E$7, 
IF(COUNTIF(AL49:AL68, "TRUE") = 5, Setup!$E$8, 
IF(COUNTIF(AL49:AL68, "TRUE") &gt;= 6, Setup!$E$9)))
))))</f>
        <v/>
      </c>
      <c r="AM69" s="24" t="str">
        <f t="array" ref="AM69">IF(COUNTIF(AM49:AM68, "TRUE") = 1, Setup!$E$4, 
IF(COUNTIF(AM49:AM68, "TRUE") = 0, Setup!$E$3,
IF(COUNTIF(AM49:AM68, "TRUE") = 2, Setup!$E$5, 
IF(COUNTIF(AM49:AM68, "TRUE") = 3, Setup!$E$6, 
IF(COUNTIF(AM49:AM68, "TRUE") = 4, Setup!$E$7, 
IF(COUNTIF(AM49:AM68, "TRUE") = 5, Setup!$E$8, 
IF(COUNTIF(AM49:AM68, "TRUE") &gt;= 6, Setup!$E$9)))
))))</f>
        <v/>
      </c>
      <c r="AN69" s="24" t="str">
        <f t="array" ref="AN69">IF(COUNTIF(AN49:AN68, "TRUE") = 1, Setup!$E$4, 
IF(COUNTIF(AN49:AN68, "TRUE") = 0, Setup!$E$3,
IF(COUNTIF(AN49:AN68, "TRUE") = 2, Setup!$E$5, 
IF(COUNTIF(AN49:AN68, "TRUE") = 3, Setup!$E$6, 
IF(COUNTIF(AN49:AN68, "TRUE") = 4, Setup!$E$7, 
IF(COUNTIF(AN49:AN68, "TRUE") = 5, Setup!$E$8, 
IF(COUNTIF(AN49:AN68, "TRUE") &gt;= 6, Setup!$E$9)))
))))</f>
        <v/>
      </c>
      <c r="AO69" s="38"/>
      <c r="AQ69" s="38"/>
      <c r="AR69" s="38"/>
      <c r="AS69" s="38"/>
      <c r="AT69" s="38"/>
    </row>
    <row r="70">
      <c r="A70" s="13" t="s">
        <v>41</v>
      </c>
      <c r="B70" s="13" t="s">
        <v>42</v>
      </c>
      <c r="I70" s="15" t="s">
        <v>43</v>
      </c>
      <c r="J70" s="16">
        <f t="array" ref="J70">DATE($D$1, MATCH(I70, {"January","February","March","April","May","June","July","August","September","October","November","December"}, 0), 1)</f>
        <v>46113</v>
      </c>
      <c r="K70" s="16">
        <f t="shared" ref="K70:AM70" si="40">J70+1</f>
        <v>46114</v>
      </c>
      <c r="L70" s="16">
        <f t="shared" si="40"/>
        <v>46115</v>
      </c>
      <c r="M70" s="16">
        <f t="shared" si="40"/>
        <v>46116</v>
      </c>
      <c r="N70" s="16">
        <f t="shared" si="40"/>
        <v>46117</v>
      </c>
      <c r="O70" s="16">
        <f t="shared" si="40"/>
        <v>46118</v>
      </c>
      <c r="P70" s="16">
        <f t="shared" si="40"/>
        <v>46119</v>
      </c>
      <c r="Q70" s="16">
        <f t="shared" si="40"/>
        <v>46120</v>
      </c>
      <c r="R70" s="16">
        <f t="shared" si="40"/>
        <v>46121</v>
      </c>
      <c r="S70" s="16">
        <f t="shared" si="40"/>
        <v>46122</v>
      </c>
      <c r="T70" s="16">
        <f t="shared" si="40"/>
        <v>46123</v>
      </c>
      <c r="U70" s="16">
        <f t="shared" si="40"/>
        <v>46124</v>
      </c>
      <c r="V70" s="16">
        <f t="shared" si="40"/>
        <v>46125</v>
      </c>
      <c r="W70" s="16">
        <f t="shared" si="40"/>
        <v>46126</v>
      </c>
      <c r="X70" s="16">
        <f t="shared" si="40"/>
        <v>46127</v>
      </c>
      <c r="Y70" s="16">
        <f t="shared" si="40"/>
        <v>46128</v>
      </c>
      <c r="Z70" s="16">
        <f t="shared" si="40"/>
        <v>46129</v>
      </c>
      <c r="AA70" s="16">
        <f t="shared" si="40"/>
        <v>46130</v>
      </c>
      <c r="AB70" s="16">
        <f t="shared" si="40"/>
        <v>46131</v>
      </c>
      <c r="AC70" s="16">
        <f t="shared" si="40"/>
        <v>46132</v>
      </c>
      <c r="AD70" s="16">
        <f t="shared" si="40"/>
        <v>46133</v>
      </c>
      <c r="AE70" s="16">
        <f t="shared" si="40"/>
        <v>46134</v>
      </c>
      <c r="AF70" s="16">
        <f t="shared" si="40"/>
        <v>46135</v>
      </c>
      <c r="AG70" s="16">
        <f t="shared" si="40"/>
        <v>46136</v>
      </c>
      <c r="AH70" s="16">
        <f t="shared" si="40"/>
        <v>46137</v>
      </c>
      <c r="AI70" s="16">
        <f t="shared" si="40"/>
        <v>46138</v>
      </c>
      <c r="AJ70" s="16">
        <f t="shared" si="40"/>
        <v>46139</v>
      </c>
      <c r="AK70" s="16">
        <f t="shared" si="40"/>
        <v>46140</v>
      </c>
      <c r="AL70" s="16">
        <f t="shared" si="40"/>
        <v>46141</v>
      </c>
      <c r="AM70" s="16">
        <f t="shared" si="40"/>
        <v>46142</v>
      </c>
      <c r="AN70" s="16"/>
      <c r="AO70" s="17" t="s">
        <v>28</v>
      </c>
      <c r="AQ70" s="18" t="s">
        <v>29</v>
      </c>
      <c r="AR70" s="18" t="s">
        <v>30</v>
      </c>
      <c r="AS70" s="18" t="s">
        <v>31</v>
      </c>
      <c r="AT70" s="18" t="s">
        <v>32</v>
      </c>
    </row>
    <row r="71" ht="15.0" customHeight="1">
      <c r="A71" s="34"/>
      <c r="B71" s="34"/>
      <c r="I71" s="35"/>
      <c r="J71" s="36">
        <f t="shared" ref="J71:AN71" si="41">J70</f>
        <v>46113</v>
      </c>
      <c r="K71" s="36">
        <f t="shared" si="41"/>
        <v>46114</v>
      </c>
      <c r="L71" s="36">
        <f t="shared" si="41"/>
        <v>46115</v>
      </c>
      <c r="M71" s="36">
        <f t="shared" si="41"/>
        <v>46116</v>
      </c>
      <c r="N71" s="36">
        <f t="shared" si="41"/>
        <v>46117</v>
      </c>
      <c r="O71" s="36">
        <f t="shared" si="41"/>
        <v>46118</v>
      </c>
      <c r="P71" s="36">
        <f t="shared" si="41"/>
        <v>46119</v>
      </c>
      <c r="Q71" s="36">
        <f t="shared" si="41"/>
        <v>46120</v>
      </c>
      <c r="R71" s="36">
        <f t="shared" si="41"/>
        <v>46121</v>
      </c>
      <c r="S71" s="36">
        <f t="shared" si="41"/>
        <v>46122</v>
      </c>
      <c r="T71" s="36">
        <f t="shared" si="41"/>
        <v>46123</v>
      </c>
      <c r="U71" s="36">
        <f t="shared" si="41"/>
        <v>46124</v>
      </c>
      <c r="V71" s="36">
        <f t="shared" si="41"/>
        <v>46125</v>
      </c>
      <c r="W71" s="36">
        <f t="shared" si="41"/>
        <v>46126</v>
      </c>
      <c r="X71" s="36">
        <f t="shared" si="41"/>
        <v>46127</v>
      </c>
      <c r="Y71" s="36">
        <f t="shared" si="41"/>
        <v>46128</v>
      </c>
      <c r="Z71" s="36">
        <f t="shared" si="41"/>
        <v>46129</v>
      </c>
      <c r="AA71" s="36">
        <f t="shared" si="41"/>
        <v>46130</v>
      </c>
      <c r="AB71" s="36">
        <f t="shared" si="41"/>
        <v>46131</v>
      </c>
      <c r="AC71" s="36">
        <f t="shared" si="41"/>
        <v>46132</v>
      </c>
      <c r="AD71" s="36">
        <f t="shared" si="41"/>
        <v>46133</v>
      </c>
      <c r="AE71" s="36">
        <f t="shared" si="41"/>
        <v>46134</v>
      </c>
      <c r="AF71" s="36">
        <f t="shared" si="41"/>
        <v>46135</v>
      </c>
      <c r="AG71" s="36">
        <f t="shared" si="41"/>
        <v>46136</v>
      </c>
      <c r="AH71" s="36">
        <f t="shared" si="41"/>
        <v>46137</v>
      </c>
      <c r="AI71" s="36">
        <f t="shared" si="41"/>
        <v>46138</v>
      </c>
      <c r="AJ71" s="36">
        <f t="shared" si="41"/>
        <v>46139</v>
      </c>
      <c r="AK71" s="36">
        <f t="shared" si="41"/>
        <v>46140</v>
      </c>
      <c r="AL71" s="36">
        <f t="shared" si="41"/>
        <v>46141</v>
      </c>
      <c r="AM71" s="36">
        <f t="shared" si="41"/>
        <v>46142</v>
      </c>
      <c r="AN71" s="36" t="str">
        <f t="shared" si="41"/>
        <v/>
      </c>
    </row>
    <row r="72">
      <c r="A72" s="22"/>
      <c r="B72" s="46" t="str">
        <f t="shared" ref="B72:H72" si="42">IF($E$2="Monday", TEXT(TODAY()-WEEKDAY(TODAY(),2)+COLUMN(B72)-1,"ddd"), TEXT(TODAY()-WEEKDAY(TODAY(),1)+IF(COLUMN(B72)&gt;1,COLUMN(B72)-1,7),"ddd"))
</f>
        <v>Mon</v>
      </c>
      <c r="C72" s="46" t="str">
        <f t="shared" si="42"/>
        <v>Tue</v>
      </c>
      <c r="D72" s="46" t="str">
        <f t="shared" si="42"/>
        <v>Wed</v>
      </c>
      <c r="E72" s="46" t="str">
        <f t="shared" si="42"/>
        <v>Thu</v>
      </c>
      <c r="F72" s="46" t="str">
        <f t="shared" si="42"/>
        <v>Fri</v>
      </c>
      <c r="G72" s="46" t="str">
        <f t="shared" si="42"/>
        <v>Sat</v>
      </c>
      <c r="H72" s="46" t="str">
        <f t="shared" si="42"/>
        <v>Sun</v>
      </c>
      <c r="I72" s="6" t="str">
        <f t="array" ref="I72:I91">Setup!$B$3:$B$22</f>
        <v>🧘🏻‍♀️Yoga</v>
      </c>
      <c r="J72" s="38" t="b">
        <v>0</v>
      </c>
      <c r="K72" s="38" t="b">
        <v>0</v>
      </c>
      <c r="L72" s="38" t="b">
        <v>0</v>
      </c>
      <c r="M72" s="38" t="b">
        <v>0</v>
      </c>
      <c r="N72" s="38" t="b">
        <v>0</v>
      </c>
      <c r="O72" s="38" t="b">
        <v>0</v>
      </c>
      <c r="P72" s="38" t="b">
        <v>0</v>
      </c>
      <c r="Q72" s="38" t="b">
        <v>0</v>
      </c>
      <c r="R72" s="38" t="b">
        <v>0</v>
      </c>
      <c r="S72" s="38" t="b">
        <v>0</v>
      </c>
      <c r="T72" s="38" t="b">
        <v>0</v>
      </c>
      <c r="U72" s="38" t="b">
        <v>0</v>
      </c>
      <c r="V72" s="38" t="b">
        <v>0</v>
      </c>
      <c r="W72" s="38" t="b">
        <v>0</v>
      </c>
      <c r="X72" s="38" t="b">
        <v>0</v>
      </c>
      <c r="Y72" s="38" t="b">
        <v>0</v>
      </c>
      <c r="Z72" s="38" t="b">
        <v>0</v>
      </c>
      <c r="AA72" s="38" t="b">
        <v>0</v>
      </c>
      <c r="AB72" s="38" t="b">
        <v>0</v>
      </c>
      <c r="AC72" s="38" t="b">
        <v>0</v>
      </c>
      <c r="AD72" s="38" t="b">
        <v>0</v>
      </c>
      <c r="AE72" s="38" t="b">
        <v>0</v>
      </c>
      <c r="AF72" s="38" t="b">
        <v>0</v>
      </c>
      <c r="AG72" s="38" t="b">
        <v>0</v>
      </c>
      <c r="AH72" s="38" t="b">
        <v>0</v>
      </c>
      <c r="AI72" s="38" t="b">
        <v>0</v>
      </c>
      <c r="AJ72" s="38" t="b">
        <v>0</v>
      </c>
      <c r="AK72" s="38" t="b">
        <v>0</v>
      </c>
      <c r="AL72" s="38" t="b">
        <v>0</v>
      </c>
      <c r="AM72" s="38" t="b">
        <v>0</v>
      </c>
      <c r="AN72" s="38" t="b">
        <v>0</v>
      </c>
      <c r="AO72" s="25">
        <f t="shared" ref="AO72:AO91" si="44">COUNTIF(J72:AN72, "TRUE")</f>
        <v>0</v>
      </c>
      <c r="AQ72" s="25">
        <f>IFERROR(__xludf.DUMMYFUNCTION("if(iserror(match(true,J72:AN72,0)),0,len(index(split(substitute(substitute(join("","",J72:AN72)&amp;"","",""TRUE,"",""x""),""FALSE,"","",""),"",""),,counta(split(substitute(substitute(join("","",J72:AN72)&amp;"","",""TRUE,"",""x""),""FALSE,"","",""),"","")))))"),0.0)</f>
        <v>0</v>
      </c>
      <c r="AR72" s="25" t="str">
        <f>IFERROR(__xludf.DUMMYFUNCTION("arrayformula( if( sum(J72:AN72 + 0), max( len( split( concatenate( left(J72:AN72) ), ""F"" ) ) ), ""0"" ) )"),"0")</f>
        <v>0</v>
      </c>
      <c r="AS72" s="26">
        <v>15.0</v>
      </c>
      <c r="AT72" s="27">
        <f t="shared" ref="AT72:AT91" si="45">AO72/AS72</f>
        <v>0</v>
      </c>
    </row>
    <row r="73">
      <c r="A73" s="28">
        <f>WEEKNUM(DATE($D$1, MONTH(I70 &amp; 1), 1), 2)
</f>
        <v>14</v>
      </c>
      <c r="B73" s="29">
        <f t="array" ref="B73">IFERROR(DATE($D$1, 1, (A73-1)*7 + 2 - WEEKDAY(DATE($D$1, 1, 1) - MATCH(B72, {"Mon","Tue","Wed","Thu","Fri","Sat","Sun"}, 0))), "")</f>
        <v>46111</v>
      </c>
      <c r="C73" s="30">
        <f t="shared" ref="C73:H73" si="43">B73+1</f>
        <v>46112</v>
      </c>
      <c r="D73" s="30">
        <f t="shared" si="43"/>
        <v>46113</v>
      </c>
      <c r="E73" s="30">
        <f t="shared" si="43"/>
        <v>46114</v>
      </c>
      <c r="F73" s="30">
        <f t="shared" si="43"/>
        <v>46115</v>
      </c>
      <c r="G73" s="30">
        <f t="shared" si="43"/>
        <v>46116</v>
      </c>
      <c r="H73" s="30">
        <f t="shared" si="43"/>
        <v>46117</v>
      </c>
      <c r="I73" s="6" t="s">
        <v>7</v>
      </c>
      <c r="J73" s="38" t="b">
        <v>0</v>
      </c>
      <c r="K73" s="38" t="b">
        <v>0</v>
      </c>
      <c r="L73" s="38" t="b">
        <v>0</v>
      </c>
      <c r="M73" s="38" t="b">
        <v>0</v>
      </c>
      <c r="N73" s="38" t="b">
        <v>0</v>
      </c>
      <c r="O73" s="38" t="b">
        <v>0</v>
      </c>
      <c r="P73" s="38" t="b">
        <v>0</v>
      </c>
      <c r="Q73" s="38" t="b">
        <v>0</v>
      </c>
      <c r="R73" s="38" t="b">
        <v>0</v>
      </c>
      <c r="S73" s="38" t="b">
        <v>0</v>
      </c>
      <c r="T73" s="38" t="b">
        <v>0</v>
      </c>
      <c r="U73" s="38" t="b">
        <v>0</v>
      </c>
      <c r="V73" s="38" t="b">
        <v>0</v>
      </c>
      <c r="W73" s="38" t="b">
        <v>0</v>
      </c>
      <c r="X73" s="38" t="b">
        <v>0</v>
      </c>
      <c r="Y73" s="38" t="b">
        <v>0</v>
      </c>
      <c r="Z73" s="38" t="b">
        <v>0</v>
      </c>
      <c r="AA73" s="38" t="b">
        <v>0</v>
      </c>
      <c r="AB73" s="38" t="b">
        <v>0</v>
      </c>
      <c r="AC73" s="38" t="b">
        <v>0</v>
      </c>
      <c r="AD73" s="38" t="b">
        <v>0</v>
      </c>
      <c r="AE73" s="38" t="b">
        <v>0</v>
      </c>
      <c r="AF73" s="38" t="b">
        <v>0</v>
      </c>
      <c r="AG73" s="38" t="b">
        <v>0</v>
      </c>
      <c r="AH73" s="38" t="b">
        <v>0</v>
      </c>
      <c r="AI73" s="38" t="b">
        <v>0</v>
      </c>
      <c r="AJ73" s="38" t="b">
        <v>0</v>
      </c>
      <c r="AK73" s="38" t="b">
        <v>0</v>
      </c>
      <c r="AL73" s="38" t="b">
        <v>0</v>
      </c>
      <c r="AM73" s="38" t="b">
        <v>0</v>
      </c>
      <c r="AN73" s="38" t="b">
        <v>0</v>
      </c>
      <c r="AO73" s="25">
        <f t="shared" si="44"/>
        <v>0</v>
      </c>
      <c r="AQ73" s="25">
        <f>IFERROR(__xludf.DUMMYFUNCTION("if(iserror(match(true,J73:AN73,0)),0,len(index(split(substitute(substitute(join("","",J73:AN73)&amp;"","",""TRUE,"",""x""),""FALSE,"","",""),"",""),,counta(split(substitute(substitute(join("","",J73:AN73)&amp;"","",""TRUE,"",""x""),""FALSE,"","",""),"","")))))"),0.0)</f>
        <v>0</v>
      </c>
      <c r="AR73" s="25" t="str">
        <f>IFERROR(__xludf.DUMMYFUNCTION("arrayformula( if( sum(J73:AN73 + 0), max( len( split( concatenate( left(J73:AN73) ), ""F"" ) ) ), ""0"" ) )"),"0")</f>
        <v>0</v>
      </c>
      <c r="AS73" s="26">
        <v>20.0</v>
      </c>
      <c r="AT73" s="27">
        <f t="shared" si="45"/>
        <v>0</v>
      </c>
    </row>
    <row r="74">
      <c r="A74" s="31">
        <f t="shared" ref="A74:A78" si="47">A73+1</f>
        <v>15</v>
      </c>
      <c r="B74" s="30">
        <f t="shared" ref="B74:B78" si="48">H73+1</f>
        <v>46118</v>
      </c>
      <c r="C74" s="30">
        <f t="shared" ref="C74:H74" si="46">B74+1</f>
        <v>46119</v>
      </c>
      <c r="D74" s="30">
        <f t="shared" si="46"/>
        <v>46120</v>
      </c>
      <c r="E74" s="30">
        <f t="shared" si="46"/>
        <v>46121</v>
      </c>
      <c r="F74" s="30">
        <f t="shared" si="46"/>
        <v>46122</v>
      </c>
      <c r="G74" s="30">
        <f t="shared" si="46"/>
        <v>46123</v>
      </c>
      <c r="H74" s="30">
        <f t="shared" si="46"/>
        <v>46124</v>
      </c>
      <c r="I74" s="6" t="s">
        <v>11</v>
      </c>
      <c r="J74" s="38" t="b">
        <v>0</v>
      </c>
      <c r="K74" s="38" t="b">
        <v>0</v>
      </c>
      <c r="L74" s="38" t="b">
        <v>0</v>
      </c>
      <c r="M74" s="38" t="b">
        <v>0</v>
      </c>
      <c r="N74" s="38" t="b">
        <v>0</v>
      </c>
      <c r="O74" s="38" t="b">
        <v>0</v>
      </c>
      <c r="P74" s="38" t="b">
        <v>0</v>
      </c>
      <c r="Q74" s="38" t="b">
        <v>0</v>
      </c>
      <c r="R74" s="38" t="b">
        <v>0</v>
      </c>
      <c r="S74" s="38" t="b">
        <v>0</v>
      </c>
      <c r="T74" s="38" t="b">
        <v>0</v>
      </c>
      <c r="U74" s="38" t="b">
        <v>0</v>
      </c>
      <c r="V74" s="38" t="b">
        <v>0</v>
      </c>
      <c r="W74" s="38" t="b">
        <v>0</v>
      </c>
      <c r="X74" s="38" t="b">
        <v>0</v>
      </c>
      <c r="Y74" s="38" t="b">
        <v>0</v>
      </c>
      <c r="Z74" s="38" t="b">
        <v>0</v>
      </c>
      <c r="AA74" s="38" t="b">
        <v>0</v>
      </c>
      <c r="AB74" s="38" t="b">
        <v>0</v>
      </c>
      <c r="AC74" s="38" t="b">
        <v>0</v>
      </c>
      <c r="AD74" s="38" t="b">
        <v>0</v>
      </c>
      <c r="AE74" s="38" t="b">
        <v>0</v>
      </c>
      <c r="AF74" s="38" t="b">
        <v>0</v>
      </c>
      <c r="AG74" s="38" t="b">
        <v>0</v>
      </c>
      <c r="AH74" s="38" t="b">
        <v>0</v>
      </c>
      <c r="AI74" s="38" t="b">
        <v>0</v>
      </c>
      <c r="AJ74" s="38" t="b">
        <v>0</v>
      </c>
      <c r="AK74" s="38" t="b">
        <v>0</v>
      </c>
      <c r="AL74" s="38" t="b">
        <v>0</v>
      </c>
      <c r="AM74" s="38" t="b">
        <v>0</v>
      </c>
      <c r="AN74" s="38" t="b">
        <v>0</v>
      </c>
      <c r="AO74" s="25">
        <f t="shared" si="44"/>
        <v>0</v>
      </c>
      <c r="AQ74" s="25">
        <f>IFERROR(__xludf.DUMMYFUNCTION("if(iserror(match(true,J74:AN74,0)),0,len(index(split(substitute(substitute(join("","",J74:AN74)&amp;"","",""TRUE,"",""x""),""FALSE,"","",""),"",""),,counta(split(substitute(substitute(join("","",J74:AN74)&amp;"","",""TRUE,"",""x""),""FALSE,"","",""),"","")))))"),0.0)</f>
        <v>0</v>
      </c>
      <c r="AR74" s="25" t="str">
        <f>IFERROR(__xludf.DUMMYFUNCTION("arrayformula( if( sum(J74:AN74 + 0), max( len( split( concatenate( left(J74:AN74) ), ""F"" ) ) ), ""0"" ) )"),"0")</f>
        <v>0</v>
      </c>
      <c r="AS74" s="26">
        <v>30.0</v>
      </c>
      <c r="AT74" s="27">
        <f t="shared" si="45"/>
        <v>0</v>
      </c>
    </row>
    <row r="75">
      <c r="A75" s="31">
        <f t="shared" si="47"/>
        <v>16</v>
      </c>
      <c r="B75" s="30">
        <f t="shared" si="48"/>
        <v>46125</v>
      </c>
      <c r="C75" s="30">
        <f t="shared" ref="C75:H75" si="49">B75+1</f>
        <v>46126</v>
      </c>
      <c r="D75" s="30">
        <f t="shared" si="49"/>
        <v>46127</v>
      </c>
      <c r="E75" s="30">
        <f t="shared" si="49"/>
        <v>46128</v>
      </c>
      <c r="F75" s="30">
        <f t="shared" si="49"/>
        <v>46129</v>
      </c>
      <c r="G75" s="30">
        <f t="shared" si="49"/>
        <v>46130</v>
      </c>
      <c r="H75" s="30">
        <f t="shared" si="49"/>
        <v>46131</v>
      </c>
      <c r="I75" s="6" t="s">
        <v>14</v>
      </c>
      <c r="J75" s="38" t="b">
        <v>0</v>
      </c>
      <c r="K75" s="38" t="b">
        <v>0</v>
      </c>
      <c r="L75" s="38" t="b">
        <v>0</v>
      </c>
      <c r="M75" s="38" t="b">
        <v>0</v>
      </c>
      <c r="N75" s="38" t="b">
        <v>0</v>
      </c>
      <c r="O75" s="38" t="b">
        <v>0</v>
      </c>
      <c r="P75" s="38" t="b">
        <v>0</v>
      </c>
      <c r="Q75" s="38" t="b">
        <v>0</v>
      </c>
      <c r="R75" s="38" t="b">
        <v>0</v>
      </c>
      <c r="S75" s="38" t="b">
        <v>0</v>
      </c>
      <c r="T75" s="38" t="b">
        <v>0</v>
      </c>
      <c r="U75" s="38" t="b">
        <v>0</v>
      </c>
      <c r="V75" s="38" t="b">
        <v>0</v>
      </c>
      <c r="W75" s="38" t="b">
        <v>0</v>
      </c>
      <c r="X75" s="38" t="b">
        <v>0</v>
      </c>
      <c r="Y75" s="38" t="b">
        <v>0</v>
      </c>
      <c r="Z75" s="38" t="b">
        <v>0</v>
      </c>
      <c r="AA75" s="38" t="b">
        <v>0</v>
      </c>
      <c r="AB75" s="38" t="b">
        <v>0</v>
      </c>
      <c r="AC75" s="38" t="b">
        <v>0</v>
      </c>
      <c r="AD75" s="38" t="b">
        <v>0</v>
      </c>
      <c r="AE75" s="38" t="b">
        <v>0</v>
      </c>
      <c r="AF75" s="24" t="b">
        <v>0</v>
      </c>
      <c r="AG75" s="38" t="b">
        <v>0</v>
      </c>
      <c r="AH75" s="38" t="b">
        <v>0</v>
      </c>
      <c r="AI75" s="38" t="b">
        <v>0</v>
      </c>
      <c r="AJ75" s="38" t="b">
        <v>0</v>
      </c>
      <c r="AK75" s="38" t="b">
        <v>0</v>
      </c>
      <c r="AL75" s="38" t="b">
        <v>0</v>
      </c>
      <c r="AM75" s="38" t="b">
        <v>0</v>
      </c>
      <c r="AN75" s="38" t="b">
        <v>0</v>
      </c>
      <c r="AO75" s="25">
        <f t="shared" si="44"/>
        <v>0</v>
      </c>
      <c r="AQ75" s="25">
        <f>IFERROR(__xludf.DUMMYFUNCTION("if(iserror(match(true,J75:AN75,0)),0,len(index(split(substitute(substitute(join("","",J75:AN75)&amp;"","",""TRUE,"",""x""),""FALSE,"","",""),"",""),,counta(split(substitute(substitute(join("","",J75:AN75)&amp;"","",""TRUE,"",""x""),""FALSE,"","",""),"","")))))"),0.0)</f>
        <v>0</v>
      </c>
      <c r="AR75" s="25" t="str">
        <f>IFERROR(__xludf.DUMMYFUNCTION("arrayformula( if( sum(J75:AN75 + 0), max( len( split( concatenate( left(J75:AN75) ), ""F"" ) ) ), ""0"" ) )"),"0")</f>
        <v>0</v>
      </c>
      <c r="AS75" s="26">
        <v>20.0</v>
      </c>
      <c r="AT75" s="27">
        <f t="shared" si="45"/>
        <v>0</v>
      </c>
    </row>
    <row r="76">
      <c r="A76" s="31">
        <f t="shared" si="47"/>
        <v>17</v>
      </c>
      <c r="B76" s="30">
        <f t="shared" si="48"/>
        <v>46132</v>
      </c>
      <c r="C76" s="30">
        <f t="shared" ref="C76:H76" si="50">B76+1</f>
        <v>46133</v>
      </c>
      <c r="D76" s="30">
        <f t="shared" si="50"/>
        <v>46134</v>
      </c>
      <c r="E76" s="30">
        <f t="shared" si="50"/>
        <v>46135</v>
      </c>
      <c r="F76" s="30">
        <f t="shared" si="50"/>
        <v>46136</v>
      </c>
      <c r="G76" s="30">
        <f t="shared" si="50"/>
        <v>46137</v>
      </c>
      <c r="H76" s="30">
        <f t="shared" si="50"/>
        <v>46138</v>
      </c>
      <c r="I76" s="6" t="s">
        <v>17</v>
      </c>
      <c r="J76" s="38" t="b">
        <v>0</v>
      </c>
      <c r="K76" s="38" t="b">
        <v>0</v>
      </c>
      <c r="L76" s="38" t="b">
        <v>0</v>
      </c>
      <c r="M76" s="38" t="b">
        <v>0</v>
      </c>
      <c r="N76" s="38" t="b">
        <v>0</v>
      </c>
      <c r="O76" s="38" t="b">
        <v>0</v>
      </c>
      <c r="P76" s="38" t="b">
        <v>0</v>
      </c>
      <c r="Q76" s="38" t="b">
        <v>0</v>
      </c>
      <c r="R76" s="38" t="b">
        <v>0</v>
      </c>
      <c r="S76" s="38" t="b">
        <v>0</v>
      </c>
      <c r="T76" s="38" t="b">
        <v>0</v>
      </c>
      <c r="U76" s="38" t="b">
        <v>0</v>
      </c>
      <c r="V76" s="38" t="b">
        <v>0</v>
      </c>
      <c r="W76" s="38" t="b">
        <v>0</v>
      </c>
      <c r="X76" s="38" t="b">
        <v>0</v>
      </c>
      <c r="Y76" s="38" t="b">
        <v>0</v>
      </c>
      <c r="Z76" s="38" t="b">
        <v>0</v>
      </c>
      <c r="AA76" s="38" t="b">
        <v>0</v>
      </c>
      <c r="AB76" s="38" t="b">
        <v>0</v>
      </c>
      <c r="AC76" s="38" t="b">
        <v>0</v>
      </c>
      <c r="AD76" s="38" t="b">
        <v>0</v>
      </c>
      <c r="AE76" s="38" t="b">
        <v>0</v>
      </c>
      <c r="AF76" s="38" t="b">
        <v>0</v>
      </c>
      <c r="AG76" s="38" t="b">
        <v>0</v>
      </c>
      <c r="AH76" s="38" t="b">
        <v>0</v>
      </c>
      <c r="AI76" s="38" t="b">
        <v>0</v>
      </c>
      <c r="AJ76" s="38" t="b">
        <v>0</v>
      </c>
      <c r="AK76" s="38" t="b">
        <v>0</v>
      </c>
      <c r="AL76" s="38" t="b">
        <v>0</v>
      </c>
      <c r="AM76" s="38" t="b">
        <v>0</v>
      </c>
      <c r="AN76" s="38" t="b">
        <v>0</v>
      </c>
      <c r="AO76" s="25">
        <f t="shared" si="44"/>
        <v>0</v>
      </c>
      <c r="AQ76" s="25">
        <f>IFERROR(__xludf.DUMMYFUNCTION("if(iserror(match(true,J76:AN76,0)),0,len(index(split(substitute(substitute(join("","",J76:AN76)&amp;"","",""TRUE,"",""x""),""FALSE,"","",""),"",""),,counta(split(substitute(substitute(join("","",J76:AN76)&amp;"","",""TRUE,"",""x""),""FALSE,"","",""),"","")))))"),0.0)</f>
        <v>0</v>
      </c>
      <c r="AR76" s="25" t="str">
        <f>IFERROR(__xludf.DUMMYFUNCTION("arrayformula( if( sum(J76:AN76 + 0), max( len( split( concatenate( left(J76:AN76) ), ""F"" ) ) ), ""0"" ) )"),"0")</f>
        <v>0</v>
      </c>
      <c r="AS76" s="26">
        <v>20.0</v>
      </c>
      <c r="AT76" s="27">
        <f t="shared" si="45"/>
        <v>0</v>
      </c>
    </row>
    <row r="77">
      <c r="A77" s="31">
        <f t="shared" si="47"/>
        <v>18</v>
      </c>
      <c r="B77" s="30">
        <f t="shared" si="48"/>
        <v>46139</v>
      </c>
      <c r="C77" s="30">
        <f t="shared" ref="C77:H77" si="51">B77+1</f>
        <v>46140</v>
      </c>
      <c r="D77" s="30">
        <f t="shared" si="51"/>
        <v>46141</v>
      </c>
      <c r="E77" s="30">
        <f t="shared" si="51"/>
        <v>46142</v>
      </c>
      <c r="F77" s="30">
        <f t="shared" si="51"/>
        <v>46143</v>
      </c>
      <c r="G77" s="30">
        <f t="shared" si="51"/>
        <v>46144</v>
      </c>
      <c r="H77" s="30">
        <f t="shared" si="51"/>
        <v>46145</v>
      </c>
      <c r="I77" s="6" t="s">
        <v>20</v>
      </c>
      <c r="J77" s="38" t="b">
        <v>0</v>
      </c>
      <c r="K77" s="38" t="b">
        <v>0</v>
      </c>
      <c r="L77" s="38" t="b">
        <v>0</v>
      </c>
      <c r="M77" s="38" t="b">
        <v>0</v>
      </c>
      <c r="N77" s="38" t="b">
        <v>0</v>
      </c>
      <c r="O77" s="38" t="b">
        <v>0</v>
      </c>
      <c r="P77" s="38" t="b">
        <v>0</v>
      </c>
      <c r="Q77" s="38" t="b">
        <v>0</v>
      </c>
      <c r="R77" s="38" t="b">
        <v>0</v>
      </c>
      <c r="S77" s="38" t="b">
        <v>0</v>
      </c>
      <c r="T77" s="38" t="b">
        <v>0</v>
      </c>
      <c r="U77" s="38" t="b">
        <v>0</v>
      </c>
      <c r="V77" s="38" t="b">
        <v>0</v>
      </c>
      <c r="W77" s="38" t="b">
        <v>0</v>
      </c>
      <c r="X77" s="38" t="b">
        <v>0</v>
      </c>
      <c r="Y77" s="38" t="b">
        <v>0</v>
      </c>
      <c r="Z77" s="38" t="b">
        <v>0</v>
      </c>
      <c r="AA77" s="38" t="b">
        <v>0</v>
      </c>
      <c r="AB77" s="38" t="b">
        <v>0</v>
      </c>
      <c r="AC77" s="38" t="b">
        <v>0</v>
      </c>
      <c r="AD77" s="38" t="b">
        <v>0</v>
      </c>
      <c r="AE77" s="38" t="b">
        <v>0</v>
      </c>
      <c r="AF77" s="38" t="b">
        <v>0</v>
      </c>
      <c r="AG77" s="38" t="b">
        <v>0</v>
      </c>
      <c r="AH77" s="38" t="b">
        <v>0</v>
      </c>
      <c r="AI77" s="38" t="b">
        <v>0</v>
      </c>
      <c r="AJ77" s="38" t="b">
        <v>0</v>
      </c>
      <c r="AK77" s="38" t="b">
        <v>0</v>
      </c>
      <c r="AL77" s="38" t="b">
        <v>0</v>
      </c>
      <c r="AM77" s="38" t="b">
        <v>0</v>
      </c>
      <c r="AN77" s="38" t="b">
        <v>0</v>
      </c>
      <c r="AO77" s="25">
        <f t="shared" si="44"/>
        <v>0</v>
      </c>
      <c r="AQ77" s="25">
        <f>IFERROR(__xludf.DUMMYFUNCTION("if(iserror(match(true,J77:AN77,0)),0,len(index(split(substitute(substitute(join("","",J77:AN77)&amp;"","",""TRUE,"",""x""),""FALSE,"","",""),"",""),,counta(split(substitute(substitute(join("","",J77:AN77)&amp;"","",""TRUE,"",""x""),""FALSE,"","",""),"","")))))"),0.0)</f>
        <v>0</v>
      </c>
      <c r="AR77" s="25" t="str">
        <f>IFERROR(__xludf.DUMMYFUNCTION("arrayformula( if( sum(J77:AN77 + 0), max( len( split( concatenate( left(J77:AN77) ), ""F"" ) ) ), ""0"" ) )"),"0")</f>
        <v>0</v>
      </c>
      <c r="AS77" s="26">
        <v>15.0</v>
      </c>
      <c r="AT77" s="27">
        <f t="shared" si="45"/>
        <v>0</v>
      </c>
    </row>
    <row r="78">
      <c r="A78" s="31">
        <f t="shared" si="47"/>
        <v>19</v>
      </c>
      <c r="B78" s="30">
        <f t="shared" si="48"/>
        <v>46146</v>
      </c>
      <c r="C78" s="30">
        <f t="shared" ref="C78:H78" si="52">B78+1</f>
        <v>46147</v>
      </c>
      <c r="D78" s="30">
        <f t="shared" si="52"/>
        <v>46148</v>
      </c>
      <c r="E78" s="30">
        <f t="shared" si="52"/>
        <v>46149</v>
      </c>
      <c r="F78" s="30">
        <f t="shared" si="52"/>
        <v>46150</v>
      </c>
      <c r="G78" s="30">
        <f t="shared" si="52"/>
        <v>46151</v>
      </c>
      <c r="H78" s="30">
        <f t="shared" si="52"/>
        <v>46152</v>
      </c>
      <c r="I78" s="6"/>
      <c r="J78" s="38" t="b">
        <v>0</v>
      </c>
      <c r="K78" s="38" t="b">
        <v>0</v>
      </c>
      <c r="L78" s="38" t="b">
        <v>0</v>
      </c>
      <c r="M78" s="38" t="b">
        <v>0</v>
      </c>
      <c r="N78" s="38" t="b">
        <v>0</v>
      </c>
      <c r="O78" s="38" t="b">
        <v>0</v>
      </c>
      <c r="P78" s="38" t="b">
        <v>0</v>
      </c>
      <c r="Q78" s="38" t="b">
        <v>0</v>
      </c>
      <c r="R78" s="38" t="b">
        <v>0</v>
      </c>
      <c r="S78" s="38" t="b">
        <v>0</v>
      </c>
      <c r="T78" s="38" t="b">
        <v>0</v>
      </c>
      <c r="U78" s="38" t="b">
        <v>0</v>
      </c>
      <c r="V78" s="38" t="b">
        <v>0</v>
      </c>
      <c r="W78" s="38" t="b">
        <v>0</v>
      </c>
      <c r="X78" s="38" t="b">
        <v>0</v>
      </c>
      <c r="Y78" s="38" t="b">
        <v>0</v>
      </c>
      <c r="Z78" s="38" t="b">
        <v>0</v>
      </c>
      <c r="AA78" s="38" t="b">
        <v>0</v>
      </c>
      <c r="AB78" s="38" t="b">
        <v>0</v>
      </c>
      <c r="AC78" s="38" t="b">
        <v>0</v>
      </c>
      <c r="AD78" s="38" t="b">
        <v>0</v>
      </c>
      <c r="AE78" s="38" t="b">
        <v>0</v>
      </c>
      <c r="AF78" s="38" t="b">
        <v>0</v>
      </c>
      <c r="AG78" s="38" t="b">
        <v>0</v>
      </c>
      <c r="AH78" s="38" t="b">
        <v>0</v>
      </c>
      <c r="AI78" s="38" t="b">
        <v>0</v>
      </c>
      <c r="AJ78" s="38" t="b">
        <v>0</v>
      </c>
      <c r="AK78" s="38" t="b">
        <v>0</v>
      </c>
      <c r="AL78" s="38" t="b">
        <v>0</v>
      </c>
      <c r="AM78" s="38" t="b">
        <v>0</v>
      </c>
      <c r="AN78" s="38" t="b">
        <v>0</v>
      </c>
      <c r="AO78" s="25">
        <f t="shared" si="44"/>
        <v>0</v>
      </c>
      <c r="AQ78" s="25">
        <f>IFERROR(__xludf.DUMMYFUNCTION("if(iserror(match(true,J78:AN78,0)),0,len(index(split(substitute(substitute(join("","",J78:AN78)&amp;"","",""TRUE,"",""x""),""FALSE,"","",""),"",""),,counta(split(substitute(substitute(join("","",J78:AN78)&amp;"","",""TRUE,"",""x""),""FALSE,"","",""),"","")))))"),0.0)</f>
        <v>0</v>
      </c>
      <c r="AR78" s="25" t="str">
        <f>IFERROR(__xludf.DUMMYFUNCTION("arrayformula( if( sum(J78:AN78 + 0), max( len( split( concatenate( left(J78:AN78) ), ""F"" ) ) ), ""0"" ) )"),"0")</f>
        <v>0</v>
      </c>
      <c r="AS78" s="26">
        <v>15.0</v>
      </c>
      <c r="AT78" s="27">
        <f t="shared" si="45"/>
        <v>0</v>
      </c>
    </row>
    <row r="79" hidden="1">
      <c r="A79" s="39"/>
      <c r="B79" s="40"/>
      <c r="C79" s="40"/>
      <c r="D79" s="40"/>
      <c r="E79" s="40"/>
      <c r="F79" s="40"/>
      <c r="G79" s="40"/>
      <c r="H79" s="40"/>
      <c r="I79" s="6"/>
      <c r="J79" s="38" t="b">
        <v>0</v>
      </c>
      <c r="K79" s="38" t="b">
        <v>0</v>
      </c>
      <c r="L79" s="38" t="b">
        <v>0</v>
      </c>
      <c r="M79" s="38" t="b">
        <v>0</v>
      </c>
      <c r="N79" s="38" t="b">
        <v>0</v>
      </c>
      <c r="O79" s="38" t="b">
        <v>0</v>
      </c>
      <c r="P79" s="38" t="b">
        <v>0</v>
      </c>
      <c r="Q79" s="38" t="b">
        <v>0</v>
      </c>
      <c r="R79" s="38" t="b">
        <v>0</v>
      </c>
      <c r="S79" s="38" t="b">
        <v>0</v>
      </c>
      <c r="T79" s="38" t="b">
        <v>0</v>
      </c>
      <c r="U79" s="38" t="b">
        <v>0</v>
      </c>
      <c r="V79" s="38" t="b">
        <v>0</v>
      </c>
      <c r="W79" s="38" t="b">
        <v>0</v>
      </c>
      <c r="X79" s="38" t="b">
        <v>0</v>
      </c>
      <c r="Y79" s="38" t="b">
        <v>0</v>
      </c>
      <c r="Z79" s="38" t="b">
        <v>0</v>
      </c>
      <c r="AA79" s="38" t="b">
        <v>0</v>
      </c>
      <c r="AB79" s="38" t="b">
        <v>0</v>
      </c>
      <c r="AC79" s="38" t="b">
        <v>0</v>
      </c>
      <c r="AD79" s="38" t="b">
        <v>0</v>
      </c>
      <c r="AE79" s="38" t="b">
        <v>0</v>
      </c>
      <c r="AF79" s="38" t="b">
        <v>0</v>
      </c>
      <c r="AG79" s="38" t="b">
        <v>0</v>
      </c>
      <c r="AH79" s="38" t="b">
        <v>0</v>
      </c>
      <c r="AI79" s="38" t="b">
        <v>0</v>
      </c>
      <c r="AJ79" s="38" t="b">
        <v>0</v>
      </c>
      <c r="AK79" s="38" t="b">
        <v>0</v>
      </c>
      <c r="AL79" s="38" t="b">
        <v>0</v>
      </c>
      <c r="AM79" s="38" t="b">
        <v>0</v>
      </c>
      <c r="AN79" s="38" t="b">
        <v>0</v>
      </c>
      <c r="AO79" s="25">
        <f t="shared" si="44"/>
        <v>0</v>
      </c>
      <c r="AQ79" s="25">
        <f>IFERROR(__xludf.DUMMYFUNCTION("if(iserror(match(true,J79:AN79,0)),0,len(index(split(substitute(substitute(join("","",J79:AN79)&amp;"","",""TRUE,"",""x""),""FALSE,"","",""),"",""),,counta(split(substitute(substitute(join("","",J79:AN79)&amp;"","",""TRUE,"",""x""),""FALSE,"","",""),"","")))))"),0.0)</f>
        <v>0</v>
      </c>
      <c r="AR79" s="25" t="str">
        <f>IFERROR(__xludf.DUMMYFUNCTION("arrayformula( if( sum(J79:AN79 + 0), max( len( split( concatenate( left(J79:AN79) ), ""F"" ) ) ), ""0"" ) )"),"0")</f>
        <v>0</v>
      </c>
      <c r="AS79" s="26">
        <v>15.0</v>
      </c>
      <c r="AT79" s="27">
        <f t="shared" si="45"/>
        <v>0</v>
      </c>
    </row>
    <row r="80" hidden="1">
      <c r="A80" s="39"/>
      <c r="B80" s="40"/>
      <c r="C80" s="40"/>
      <c r="D80" s="40"/>
      <c r="E80" s="40"/>
      <c r="F80" s="40"/>
      <c r="G80" s="40"/>
      <c r="H80" s="40"/>
      <c r="I80" s="6"/>
      <c r="J80" s="38" t="b">
        <v>0</v>
      </c>
      <c r="K80" s="38" t="b">
        <v>0</v>
      </c>
      <c r="L80" s="38" t="b">
        <v>0</v>
      </c>
      <c r="M80" s="38" t="b">
        <v>0</v>
      </c>
      <c r="N80" s="38" t="b">
        <v>0</v>
      </c>
      <c r="O80" s="38" t="b">
        <v>0</v>
      </c>
      <c r="P80" s="38" t="b">
        <v>0</v>
      </c>
      <c r="Q80" s="38" t="b">
        <v>0</v>
      </c>
      <c r="R80" s="38" t="b">
        <v>0</v>
      </c>
      <c r="S80" s="38" t="b">
        <v>0</v>
      </c>
      <c r="T80" s="38" t="b">
        <v>0</v>
      </c>
      <c r="U80" s="38" t="b">
        <v>0</v>
      </c>
      <c r="V80" s="38" t="b">
        <v>0</v>
      </c>
      <c r="W80" s="38" t="b">
        <v>0</v>
      </c>
      <c r="X80" s="38" t="b">
        <v>0</v>
      </c>
      <c r="Y80" s="38" t="b">
        <v>0</v>
      </c>
      <c r="Z80" s="38" t="b">
        <v>0</v>
      </c>
      <c r="AA80" s="38" t="b">
        <v>0</v>
      </c>
      <c r="AB80" s="38" t="b">
        <v>0</v>
      </c>
      <c r="AC80" s="38" t="b">
        <v>0</v>
      </c>
      <c r="AD80" s="38" t="b">
        <v>0</v>
      </c>
      <c r="AE80" s="38" t="b">
        <v>0</v>
      </c>
      <c r="AF80" s="38" t="b">
        <v>0</v>
      </c>
      <c r="AG80" s="38" t="b">
        <v>0</v>
      </c>
      <c r="AH80" s="38" t="b">
        <v>0</v>
      </c>
      <c r="AI80" s="38" t="b">
        <v>0</v>
      </c>
      <c r="AJ80" s="38" t="b">
        <v>0</v>
      </c>
      <c r="AK80" s="38" t="b">
        <v>0</v>
      </c>
      <c r="AL80" s="38" t="b">
        <v>0</v>
      </c>
      <c r="AM80" s="38" t="b">
        <v>0</v>
      </c>
      <c r="AN80" s="38" t="b">
        <v>0</v>
      </c>
      <c r="AO80" s="25">
        <f t="shared" si="44"/>
        <v>0</v>
      </c>
      <c r="AQ80" s="25">
        <f>IFERROR(__xludf.DUMMYFUNCTION("if(iserror(match(true,J80:AN80,0)),0,len(index(split(substitute(substitute(join("","",J80:AN80)&amp;"","",""TRUE,"",""x""),""FALSE,"","",""),"",""),,counta(split(substitute(substitute(join("","",J80:AN80)&amp;"","",""TRUE,"",""x""),""FALSE,"","",""),"","")))))"),0.0)</f>
        <v>0</v>
      </c>
      <c r="AR80" s="25" t="str">
        <f>IFERROR(__xludf.DUMMYFUNCTION("arrayformula( if( sum(J80:AN80 + 0), max( len( split( concatenate( left(J80:AN80) ), ""F"" ) ) ), ""0"" ) )"),"0")</f>
        <v>0</v>
      </c>
      <c r="AS80" s="26">
        <v>15.0</v>
      </c>
      <c r="AT80" s="27">
        <f t="shared" si="45"/>
        <v>0</v>
      </c>
    </row>
    <row r="81" hidden="1">
      <c r="A81" s="39"/>
      <c r="B81" s="40"/>
      <c r="C81" s="40"/>
      <c r="D81" s="40"/>
      <c r="E81" s="40"/>
      <c r="F81" s="40"/>
      <c r="G81" s="40"/>
      <c r="H81" s="40"/>
      <c r="I81" s="6"/>
      <c r="J81" s="38" t="b">
        <v>0</v>
      </c>
      <c r="K81" s="38" t="b">
        <v>0</v>
      </c>
      <c r="L81" s="38" t="b">
        <v>0</v>
      </c>
      <c r="M81" s="38" t="b">
        <v>0</v>
      </c>
      <c r="N81" s="38" t="b">
        <v>0</v>
      </c>
      <c r="O81" s="38" t="b">
        <v>0</v>
      </c>
      <c r="P81" s="38" t="b">
        <v>0</v>
      </c>
      <c r="Q81" s="38" t="b">
        <v>0</v>
      </c>
      <c r="R81" s="38" t="b">
        <v>0</v>
      </c>
      <c r="S81" s="38" t="b">
        <v>0</v>
      </c>
      <c r="T81" s="38" t="b">
        <v>0</v>
      </c>
      <c r="U81" s="38" t="b">
        <v>0</v>
      </c>
      <c r="V81" s="38" t="b">
        <v>0</v>
      </c>
      <c r="W81" s="38" t="b">
        <v>0</v>
      </c>
      <c r="X81" s="38" t="b">
        <v>0</v>
      </c>
      <c r="Y81" s="38" t="b">
        <v>0</v>
      </c>
      <c r="Z81" s="38" t="b">
        <v>0</v>
      </c>
      <c r="AA81" s="38" t="b">
        <v>0</v>
      </c>
      <c r="AB81" s="38" t="b">
        <v>0</v>
      </c>
      <c r="AC81" s="38" t="b">
        <v>0</v>
      </c>
      <c r="AD81" s="38" t="b">
        <v>0</v>
      </c>
      <c r="AE81" s="38" t="b">
        <v>0</v>
      </c>
      <c r="AF81" s="38" t="b">
        <v>0</v>
      </c>
      <c r="AG81" s="38" t="b">
        <v>0</v>
      </c>
      <c r="AH81" s="38" t="b">
        <v>0</v>
      </c>
      <c r="AI81" s="38" t="b">
        <v>0</v>
      </c>
      <c r="AJ81" s="38" t="b">
        <v>0</v>
      </c>
      <c r="AK81" s="38" t="b">
        <v>0</v>
      </c>
      <c r="AL81" s="38" t="b">
        <v>0</v>
      </c>
      <c r="AM81" s="38" t="b">
        <v>0</v>
      </c>
      <c r="AN81" s="38" t="b">
        <v>0</v>
      </c>
      <c r="AO81" s="25">
        <f t="shared" si="44"/>
        <v>0</v>
      </c>
      <c r="AQ81" s="25">
        <f>IFERROR(__xludf.DUMMYFUNCTION("if(iserror(match(true,J81:AN81,0)),0,len(index(split(substitute(substitute(join("","",J81:AN81)&amp;"","",""TRUE,"",""x""),""FALSE,"","",""),"",""),,counta(split(substitute(substitute(join("","",J81:AN81)&amp;"","",""TRUE,"",""x""),""FALSE,"","",""),"","")))))"),0.0)</f>
        <v>0</v>
      </c>
      <c r="AR81" s="25" t="str">
        <f>IFERROR(__xludf.DUMMYFUNCTION("arrayformula( if( sum(J81:AN81 + 0), max( len( split( concatenate( left(J81:AN81) ), ""F"" ) ) ), ""0"" ) )"),"0")</f>
        <v>0</v>
      </c>
      <c r="AS81" s="26">
        <v>15.0</v>
      </c>
      <c r="AT81" s="27">
        <f t="shared" si="45"/>
        <v>0</v>
      </c>
    </row>
    <row r="82" hidden="1">
      <c r="A82" s="39"/>
      <c r="B82" s="40"/>
      <c r="C82" s="40"/>
      <c r="D82" s="40"/>
      <c r="E82" s="40"/>
      <c r="F82" s="40"/>
      <c r="G82" s="40"/>
      <c r="H82" s="40"/>
      <c r="I82" s="6"/>
      <c r="J82" s="38" t="b">
        <v>0</v>
      </c>
      <c r="K82" s="38" t="b">
        <v>0</v>
      </c>
      <c r="L82" s="38" t="b">
        <v>0</v>
      </c>
      <c r="M82" s="38" t="b">
        <v>0</v>
      </c>
      <c r="N82" s="38" t="b">
        <v>0</v>
      </c>
      <c r="O82" s="38" t="b">
        <v>0</v>
      </c>
      <c r="P82" s="38" t="b">
        <v>0</v>
      </c>
      <c r="Q82" s="38" t="b">
        <v>0</v>
      </c>
      <c r="R82" s="38" t="b">
        <v>0</v>
      </c>
      <c r="S82" s="38" t="b">
        <v>0</v>
      </c>
      <c r="T82" s="38" t="b">
        <v>0</v>
      </c>
      <c r="U82" s="38" t="b">
        <v>0</v>
      </c>
      <c r="V82" s="38" t="b">
        <v>0</v>
      </c>
      <c r="W82" s="38" t="b">
        <v>0</v>
      </c>
      <c r="X82" s="38" t="b">
        <v>0</v>
      </c>
      <c r="Y82" s="38" t="b">
        <v>0</v>
      </c>
      <c r="Z82" s="38" t="b">
        <v>0</v>
      </c>
      <c r="AA82" s="38" t="b">
        <v>0</v>
      </c>
      <c r="AB82" s="38" t="b">
        <v>0</v>
      </c>
      <c r="AC82" s="38" t="b">
        <v>0</v>
      </c>
      <c r="AD82" s="38" t="b">
        <v>0</v>
      </c>
      <c r="AE82" s="38" t="b">
        <v>0</v>
      </c>
      <c r="AF82" s="38" t="b">
        <v>0</v>
      </c>
      <c r="AG82" s="38" t="b">
        <v>0</v>
      </c>
      <c r="AH82" s="38" t="b">
        <v>0</v>
      </c>
      <c r="AI82" s="38" t="b">
        <v>0</v>
      </c>
      <c r="AJ82" s="38" t="b">
        <v>0</v>
      </c>
      <c r="AK82" s="38" t="b">
        <v>0</v>
      </c>
      <c r="AL82" s="38" t="b">
        <v>0</v>
      </c>
      <c r="AM82" s="38" t="b">
        <v>0</v>
      </c>
      <c r="AN82" s="38" t="b">
        <v>0</v>
      </c>
      <c r="AO82" s="25">
        <f t="shared" si="44"/>
        <v>0</v>
      </c>
      <c r="AQ82" s="25">
        <f>IFERROR(__xludf.DUMMYFUNCTION("if(iserror(match(true,J82:AN82,0)),0,len(index(split(substitute(substitute(join("","",J82:AN82)&amp;"","",""TRUE,"",""x""),""FALSE,"","",""),"",""),,counta(split(substitute(substitute(join("","",J82:AN82)&amp;"","",""TRUE,"",""x""),""FALSE,"","",""),"","")))))"),0.0)</f>
        <v>0</v>
      </c>
      <c r="AR82" s="25" t="str">
        <f>IFERROR(__xludf.DUMMYFUNCTION("arrayformula( if( sum(J82:AN82 + 0), max( len( split( concatenate( left(J82:AN82) ), ""F"" ) ) ), ""0"" ) )"),"0")</f>
        <v>0</v>
      </c>
      <c r="AS82" s="26">
        <v>15.0</v>
      </c>
      <c r="AT82" s="27">
        <f t="shared" si="45"/>
        <v>0</v>
      </c>
    </row>
    <row r="83" hidden="1">
      <c r="A83" s="39"/>
      <c r="B83" s="40"/>
      <c r="C83" s="40"/>
      <c r="D83" s="40"/>
      <c r="E83" s="40"/>
      <c r="F83" s="40"/>
      <c r="G83" s="40"/>
      <c r="H83" s="40"/>
      <c r="I83" s="6"/>
      <c r="J83" s="38" t="b">
        <v>0</v>
      </c>
      <c r="K83" s="38" t="b">
        <v>0</v>
      </c>
      <c r="L83" s="38" t="b">
        <v>0</v>
      </c>
      <c r="M83" s="38" t="b">
        <v>0</v>
      </c>
      <c r="N83" s="38" t="b">
        <v>0</v>
      </c>
      <c r="O83" s="38" t="b">
        <v>0</v>
      </c>
      <c r="P83" s="38" t="b">
        <v>0</v>
      </c>
      <c r="Q83" s="38" t="b">
        <v>0</v>
      </c>
      <c r="R83" s="38" t="b">
        <v>0</v>
      </c>
      <c r="S83" s="38" t="b">
        <v>0</v>
      </c>
      <c r="T83" s="38" t="b">
        <v>0</v>
      </c>
      <c r="U83" s="38" t="b">
        <v>0</v>
      </c>
      <c r="V83" s="38" t="b">
        <v>0</v>
      </c>
      <c r="W83" s="38" t="b">
        <v>0</v>
      </c>
      <c r="X83" s="38" t="b">
        <v>0</v>
      </c>
      <c r="Y83" s="38" t="b">
        <v>0</v>
      </c>
      <c r="Z83" s="38" t="b">
        <v>0</v>
      </c>
      <c r="AA83" s="38" t="b">
        <v>0</v>
      </c>
      <c r="AB83" s="38" t="b">
        <v>0</v>
      </c>
      <c r="AC83" s="38" t="b">
        <v>0</v>
      </c>
      <c r="AD83" s="38" t="b">
        <v>0</v>
      </c>
      <c r="AE83" s="38" t="b">
        <v>0</v>
      </c>
      <c r="AF83" s="38" t="b">
        <v>0</v>
      </c>
      <c r="AG83" s="38" t="b">
        <v>0</v>
      </c>
      <c r="AH83" s="38" t="b">
        <v>0</v>
      </c>
      <c r="AI83" s="38" t="b">
        <v>0</v>
      </c>
      <c r="AJ83" s="38" t="b">
        <v>0</v>
      </c>
      <c r="AK83" s="38" t="b">
        <v>0</v>
      </c>
      <c r="AL83" s="38" t="b">
        <v>0</v>
      </c>
      <c r="AM83" s="38" t="b">
        <v>0</v>
      </c>
      <c r="AN83" s="38" t="b">
        <v>0</v>
      </c>
      <c r="AO83" s="25">
        <f t="shared" si="44"/>
        <v>0</v>
      </c>
      <c r="AQ83" s="25">
        <f>IFERROR(__xludf.DUMMYFUNCTION("if(iserror(match(true,J83:AN83,0)),0,len(index(split(substitute(substitute(join("","",J83:AN83)&amp;"","",""TRUE,"",""x""),""FALSE,"","",""),"",""),,counta(split(substitute(substitute(join("","",J83:AN83)&amp;"","",""TRUE,"",""x""),""FALSE,"","",""),"","")))))"),0.0)</f>
        <v>0</v>
      </c>
      <c r="AR83" s="25" t="str">
        <f>IFERROR(__xludf.DUMMYFUNCTION("arrayformula( if( sum(J83:AN83 + 0), max( len( split( concatenate( left(J83:AN83) ), ""F"" ) ) ), ""0"" ) )"),"0")</f>
        <v>0</v>
      </c>
      <c r="AS83" s="26">
        <v>15.0</v>
      </c>
      <c r="AT83" s="27">
        <f t="shared" si="45"/>
        <v>0</v>
      </c>
    </row>
    <row r="84" hidden="1">
      <c r="A84" s="39"/>
      <c r="B84" s="40"/>
      <c r="C84" s="40"/>
      <c r="D84" s="40"/>
      <c r="E84" s="40"/>
      <c r="F84" s="40"/>
      <c r="G84" s="40"/>
      <c r="H84" s="40"/>
      <c r="I84" s="6"/>
      <c r="J84" s="38" t="b">
        <v>0</v>
      </c>
      <c r="K84" s="38" t="b">
        <v>0</v>
      </c>
      <c r="L84" s="38" t="b">
        <v>0</v>
      </c>
      <c r="M84" s="38" t="b">
        <v>0</v>
      </c>
      <c r="N84" s="38" t="b">
        <v>0</v>
      </c>
      <c r="O84" s="38" t="b">
        <v>0</v>
      </c>
      <c r="P84" s="38" t="b">
        <v>0</v>
      </c>
      <c r="Q84" s="38" t="b">
        <v>0</v>
      </c>
      <c r="R84" s="38" t="b">
        <v>0</v>
      </c>
      <c r="S84" s="38" t="b">
        <v>0</v>
      </c>
      <c r="T84" s="38" t="b">
        <v>0</v>
      </c>
      <c r="U84" s="38" t="b">
        <v>0</v>
      </c>
      <c r="V84" s="38" t="b">
        <v>0</v>
      </c>
      <c r="W84" s="38" t="b">
        <v>0</v>
      </c>
      <c r="X84" s="38" t="b">
        <v>0</v>
      </c>
      <c r="Y84" s="38" t="b">
        <v>0</v>
      </c>
      <c r="Z84" s="38" t="b">
        <v>0</v>
      </c>
      <c r="AA84" s="38" t="b">
        <v>0</v>
      </c>
      <c r="AB84" s="38" t="b">
        <v>0</v>
      </c>
      <c r="AC84" s="38" t="b">
        <v>0</v>
      </c>
      <c r="AD84" s="38" t="b">
        <v>0</v>
      </c>
      <c r="AE84" s="38" t="b">
        <v>0</v>
      </c>
      <c r="AF84" s="38" t="b">
        <v>0</v>
      </c>
      <c r="AG84" s="38" t="b">
        <v>0</v>
      </c>
      <c r="AH84" s="38" t="b">
        <v>0</v>
      </c>
      <c r="AI84" s="38" t="b">
        <v>0</v>
      </c>
      <c r="AJ84" s="38" t="b">
        <v>0</v>
      </c>
      <c r="AK84" s="38" t="b">
        <v>0</v>
      </c>
      <c r="AL84" s="38" t="b">
        <v>0</v>
      </c>
      <c r="AM84" s="38" t="b">
        <v>0</v>
      </c>
      <c r="AN84" s="38" t="b">
        <v>0</v>
      </c>
      <c r="AO84" s="25">
        <f t="shared" si="44"/>
        <v>0</v>
      </c>
      <c r="AQ84" s="25">
        <f>IFERROR(__xludf.DUMMYFUNCTION("if(iserror(match(true,J84:AN84,0)),0,len(index(split(substitute(substitute(join("","",J84:AN84)&amp;"","",""TRUE,"",""x""),""FALSE,"","",""),"",""),,counta(split(substitute(substitute(join("","",J84:AN84)&amp;"","",""TRUE,"",""x""),""FALSE,"","",""),"","")))))"),0.0)</f>
        <v>0</v>
      </c>
      <c r="AR84" s="25" t="str">
        <f>IFERROR(__xludf.DUMMYFUNCTION("arrayformula( if( sum(J84:AN84 + 0), max( len( split( concatenate( left(J84:AN84) ), ""F"" ) ) ), ""0"" ) )"),"0")</f>
        <v>0</v>
      </c>
      <c r="AS84" s="26">
        <v>15.0</v>
      </c>
      <c r="AT84" s="27">
        <f t="shared" si="45"/>
        <v>0</v>
      </c>
    </row>
    <row r="85" hidden="1">
      <c r="A85" s="39"/>
      <c r="B85" s="40"/>
      <c r="C85" s="40"/>
      <c r="D85" s="40"/>
      <c r="E85" s="40"/>
      <c r="F85" s="40"/>
      <c r="G85" s="40"/>
      <c r="H85" s="40"/>
      <c r="I85" s="6"/>
      <c r="J85" s="38" t="b">
        <v>0</v>
      </c>
      <c r="K85" s="38" t="b">
        <v>0</v>
      </c>
      <c r="L85" s="38" t="b">
        <v>0</v>
      </c>
      <c r="M85" s="38" t="b">
        <v>0</v>
      </c>
      <c r="N85" s="38" t="b">
        <v>0</v>
      </c>
      <c r="O85" s="38" t="b">
        <v>0</v>
      </c>
      <c r="P85" s="38" t="b">
        <v>0</v>
      </c>
      <c r="Q85" s="38" t="b">
        <v>0</v>
      </c>
      <c r="R85" s="38" t="b">
        <v>0</v>
      </c>
      <c r="S85" s="38" t="b">
        <v>0</v>
      </c>
      <c r="T85" s="38" t="b">
        <v>0</v>
      </c>
      <c r="U85" s="38" t="b">
        <v>0</v>
      </c>
      <c r="V85" s="38" t="b">
        <v>0</v>
      </c>
      <c r="W85" s="38" t="b">
        <v>0</v>
      </c>
      <c r="X85" s="38" t="b">
        <v>0</v>
      </c>
      <c r="Y85" s="38" t="b">
        <v>0</v>
      </c>
      <c r="Z85" s="38" t="b">
        <v>0</v>
      </c>
      <c r="AA85" s="38" t="b">
        <v>0</v>
      </c>
      <c r="AB85" s="38" t="b">
        <v>0</v>
      </c>
      <c r="AC85" s="38" t="b">
        <v>0</v>
      </c>
      <c r="AD85" s="38" t="b">
        <v>0</v>
      </c>
      <c r="AE85" s="38" t="b">
        <v>0</v>
      </c>
      <c r="AF85" s="38" t="b">
        <v>0</v>
      </c>
      <c r="AG85" s="38" t="b">
        <v>0</v>
      </c>
      <c r="AH85" s="38" t="b">
        <v>0</v>
      </c>
      <c r="AI85" s="38" t="b">
        <v>0</v>
      </c>
      <c r="AJ85" s="38" t="b">
        <v>0</v>
      </c>
      <c r="AK85" s="38" t="b">
        <v>0</v>
      </c>
      <c r="AL85" s="38" t="b">
        <v>0</v>
      </c>
      <c r="AM85" s="38" t="b">
        <v>0</v>
      </c>
      <c r="AN85" s="38" t="b">
        <v>0</v>
      </c>
      <c r="AO85" s="25">
        <f t="shared" si="44"/>
        <v>0</v>
      </c>
      <c r="AQ85" s="25">
        <f>IFERROR(__xludf.DUMMYFUNCTION("if(iserror(match(true,J85:AN85,0)),0,len(index(split(substitute(substitute(join("","",J85:AN85)&amp;"","",""TRUE,"",""x""),""FALSE,"","",""),"",""),,counta(split(substitute(substitute(join("","",J85:AN85)&amp;"","",""TRUE,"",""x""),""FALSE,"","",""),"","")))))"),0.0)</f>
        <v>0</v>
      </c>
      <c r="AR85" s="25" t="str">
        <f>IFERROR(__xludf.DUMMYFUNCTION("arrayformula( if( sum(J85:AN85 + 0), max( len( split( concatenate( left(J85:AN85) ), ""F"" ) ) ), ""0"" ) )"),"0")</f>
        <v>0</v>
      </c>
      <c r="AS85" s="26">
        <v>15.0</v>
      </c>
      <c r="AT85" s="27">
        <f t="shared" si="45"/>
        <v>0</v>
      </c>
    </row>
    <row r="86" hidden="1">
      <c r="A86" s="39"/>
      <c r="B86" s="40"/>
      <c r="C86" s="40"/>
      <c r="D86" s="40"/>
      <c r="E86" s="40"/>
      <c r="F86" s="40"/>
      <c r="G86" s="40"/>
      <c r="H86" s="40"/>
      <c r="I86" s="6"/>
      <c r="J86" s="38" t="b">
        <v>0</v>
      </c>
      <c r="K86" s="38" t="b">
        <v>0</v>
      </c>
      <c r="L86" s="38" t="b">
        <v>0</v>
      </c>
      <c r="M86" s="38" t="b">
        <v>0</v>
      </c>
      <c r="N86" s="38" t="b">
        <v>0</v>
      </c>
      <c r="O86" s="38" t="b">
        <v>0</v>
      </c>
      <c r="P86" s="38" t="b">
        <v>0</v>
      </c>
      <c r="Q86" s="38" t="b">
        <v>0</v>
      </c>
      <c r="R86" s="38" t="b">
        <v>0</v>
      </c>
      <c r="S86" s="38" t="b">
        <v>0</v>
      </c>
      <c r="T86" s="38" t="b">
        <v>0</v>
      </c>
      <c r="U86" s="38" t="b">
        <v>0</v>
      </c>
      <c r="V86" s="38" t="b">
        <v>0</v>
      </c>
      <c r="W86" s="38" t="b">
        <v>0</v>
      </c>
      <c r="X86" s="38" t="b">
        <v>0</v>
      </c>
      <c r="Y86" s="38" t="b">
        <v>0</v>
      </c>
      <c r="Z86" s="38" t="b">
        <v>0</v>
      </c>
      <c r="AA86" s="38" t="b">
        <v>0</v>
      </c>
      <c r="AB86" s="38" t="b">
        <v>0</v>
      </c>
      <c r="AC86" s="38" t="b">
        <v>0</v>
      </c>
      <c r="AD86" s="38" t="b">
        <v>0</v>
      </c>
      <c r="AE86" s="38" t="b">
        <v>0</v>
      </c>
      <c r="AF86" s="38" t="b">
        <v>0</v>
      </c>
      <c r="AG86" s="38" t="b">
        <v>0</v>
      </c>
      <c r="AH86" s="38" t="b">
        <v>0</v>
      </c>
      <c r="AI86" s="38" t="b">
        <v>0</v>
      </c>
      <c r="AJ86" s="38" t="b">
        <v>0</v>
      </c>
      <c r="AK86" s="38" t="b">
        <v>0</v>
      </c>
      <c r="AL86" s="38" t="b">
        <v>0</v>
      </c>
      <c r="AM86" s="38" t="b">
        <v>0</v>
      </c>
      <c r="AN86" s="38" t="b">
        <v>0</v>
      </c>
      <c r="AO86" s="25">
        <f t="shared" si="44"/>
        <v>0</v>
      </c>
      <c r="AQ86" s="25">
        <f>IFERROR(__xludf.DUMMYFUNCTION("if(iserror(match(true,J86:AN86,0)),0,len(index(split(substitute(substitute(join("","",J86:AN86)&amp;"","",""TRUE,"",""x""),""FALSE,"","",""),"",""),,counta(split(substitute(substitute(join("","",J86:AN86)&amp;"","",""TRUE,"",""x""),""FALSE,"","",""),"","")))))"),0.0)</f>
        <v>0</v>
      </c>
      <c r="AR86" s="25" t="str">
        <f>IFERROR(__xludf.DUMMYFUNCTION("arrayformula( if( sum(J86:AN86 + 0), max( len( split( concatenate( left(J86:AN86) ), ""F"" ) ) ), ""0"" ) )"),"0")</f>
        <v>0</v>
      </c>
      <c r="AS86" s="26">
        <v>15.0</v>
      </c>
      <c r="AT86" s="27">
        <f t="shared" si="45"/>
        <v>0</v>
      </c>
    </row>
    <row r="87" hidden="1">
      <c r="A87" s="39"/>
      <c r="B87" s="40"/>
      <c r="C87" s="40"/>
      <c r="D87" s="40"/>
      <c r="E87" s="40"/>
      <c r="F87" s="40"/>
      <c r="G87" s="40"/>
      <c r="H87" s="40"/>
      <c r="I87" s="6"/>
      <c r="J87" s="38" t="b">
        <v>0</v>
      </c>
      <c r="K87" s="38" t="b">
        <v>0</v>
      </c>
      <c r="L87" s="38" t="b">
        <v>0</v>
      </c>
      <c r="M87" s="38" t="b">
        <v>0</v>
      </c>
      <c r="N87" s="38" t="b">
        <v>0</v>
      </c>
      <c r="O87" s="38" t="b">
        <v>0</v>
      </c>
      <c r="P87" s="38" t="b">
        <v>0</v>
      </c>
      <c r="Q87" s="38" t="b">
        <v>0</v>
      </c>
      <c r="R87" s="38" t="b">
        <v>0</v>
      </c>
      <c r="S87" s="38" t="b">
        <v>0</v>
      </c>
      <c r="T87" s="38" t="b">
        <v>0</v>
      </c>
      <c r="U87" s="38" t="b">
        <v>0</v>
      </c>
      <c r="V87" s="38" t="b">
        <v>0</v>
      </c>
      <c r="W87" s="38" t="b">
        <v>0</v>
      </c>
      <c r="X87" s="38" t="b">
        <v>0</v>
      </c>
      <c r="Y87" s="38" t="b">
        <v>0</v>
      </c>
      <c r="Z87" s="38" t="b">
        <v>0</v>
      </c>
      <c r="AA87" s="38" t="b">
        <v>0</v>
      </c>
      <c r="AB87" s="38" t="b">
        <v>0</v>
      </c>
      <c r="AC87" s="38" t="b">
        <v>0</v>
      </c>
      <c r="AD87" s="38" t="b">
        <v>0</v>
      </c>
      <c r="AE87" s="38" t="b">
        <v>0</v>
      </c>
      <c r="AF87" s="38" t="b">
        <v>0</v>
      </c>
      <c r="AG87" s="38" t="b">
        <v>0</v>
      </c>
      <c r="AH87" s="38" t="b">
        <v>0</v>
      </c>
      <c r="AI87" s="38" t="b">
        <v>0</v>
      </c>
      <c r="AJ87" s="38" t="b">
        <v>0</v>
      </c>
      <c r="AK87" s="38" t="b">
        <v>0</v>
      </c>
      <c r="AL87" s="38" t="b">
        <v>0</v>
      </c>
      <c r="AM87" s="38" t="b">
        <v>0</v>
      </c>
      <c r="AN87" s="38" t="b">
        <v>0</v>
      </c>
      <c r="AO87" s="25">
        <f t="shared" si="44"/>
        <v>0</v>
      </c>
      <c r="AQ87" s="25">
        <f>IFERROR(__xludf.DUMMYFUNCTION("if(iserror(match(true,J87:AN87,0)),0,len(index(split(substitute(substitute(join("","",J87:AN87)&amp;"","",""TRUE,"",""x""),""FALSE,"","",""),"",""),,counta(split(substitute(substitute(join("","",J87:AN87)&amp;"","",""TRUE,"",""x""),""FALSE,"","",""),"","")))))"),0.0)</f>
        <v>0</v>
      </c>
      <c r="AR87" s="25" t="str">
        <f>IFERROR(__xludf.DUMMYFUNCTION("arrayformula( if( sum(J87:AN87 + 0), max( len( split( concatenate( left(J87:AN87) ), ""F"" ) ) ), ""0"" ) )"),"0")</f>
        <v>0</v>
      </c>
      <c r="AS87" s="26">
        <v>15.0</v>
      </c>
      <c r="AT87" s="27">
        <f t="shared" si="45"/>
        <v>0</v>
      </c>
    </row>
    <row r="88" hidden="1">
      <c r="A88" s="39"/>
      <c r="B88" s="40"/>
      <c r="C88" s="40"/>
      <c r="D88" s="40"/>
      <c r="E88" s="40"/>
      <c r="F88" s="40"/>
      <c r="G88" s="40"/>
      <c r="H88" s="40"/>
      <c r="I88" s="6"/>
      <c r="J88" s="38" t="b">
        <v>0</v>
      </c>
      <c r="K88" s="38" t="b">
        <v>0</v>
      </c>
      <c r="L88" s="38" t="b">
        <v>0</v>
      </c>
      <c r="M88" s="38" t="b">
        <v>0</v>
      </c>
      <c r="N88" s="38" t="b">
        <v>0</v>
      </c>
      <c r="O88" s="38" t="b">
        <v>0</v>
      </c>
      <c r="P88" s="38" t="b">
        <v>0</v>
      </c>
      <c r="Q88" s="38" t="b">
        <v>0</v>
      </c>
      <c r="R88" s="38" t="b">
        <v>0</v>
      </c>
      <c r="S88" s="38" t="b">
        <v>0</v>
      </c>
      <c r="T88" s="38" t="b">
        <v>0</v>
      </c>
      <c r="U88" s="38" t="b">
        <v>0</v>
      </c>
      <c r="V88" s="38" t="b">
        <v>0</v>
      </c>
      <c r="W88" s="38" t="b">
        <v>0</v>
      </c>
      <c r="X88" s="38" t="b">
        <v>0</v>
      </c>
      <c r="Y88" s="38" t="b">
        <v>0</v>
      </c>
      <c r="Z88" s="38" t="b">
        <v>0</v>
      </c>
      <c r="AA88" s="38" t="b">
        <v>0</v>
      </c>
      <c r="AB88" s="38" t="b">
        <v>0</v>
      </c>
      <c r="AC88" s="38" t="b">
        <v>0</v>
      </c>
      <c r="AD88" s="38" t="b">
        <v>0</v>
      </c>
      <c r="AE88" s="38" t="b">
        <v>0</v>
      </c>
      <c r="AF88" s="38" t="b">
        <v>0</v>
      </c>
      <c r="AG88" s="38" t="b">
        <v>0</v>
      </c>
      <c r="AH88" s="38" t="b">
        <v>0</v>
      </c>
      <c r="AI88" s="38" t="b">
        <v>0</v>
      </c>
      <c r="AJ88" s="38" t="b">
        <v>0</v>
      </c>
      <c r="AK88" s="38" t="b">
        <v>0</v>
      </c>
      <c r="AL88" s="38" t="b">
        <v>0</v>
      </c>
      <c r="AM88" s="38" t="b">
        <v>0</v>
      </c>
      <c r="AN88" s="38" t="b">
        <v>0</v>
      </c>
      <c r="AO88" s="25">
        <f t="shared" si="44"/>
        <v>0</v>
      </c>
      <c r="AQ88" s="25">
        <f>IFERROR(__xludf.DUMMYFUNCTION("if(iserror(match(true,J88:AN88,0)),0,len(index(split(substitute(substitute(join("","",J88:AN88)&amp;"","",""TRUE,"",""x""),""FALSE,"","",""),"",""),,counta(split(substitute(substitute(join("","",J88:AN88)&amp;"","",""TRUE,"",""x""),""FALSE,"","",""),"","")))))"),0.0)</f>
        <v>0</v>
      </c>
      <c r="AR88" s="25" t="str">
        <f>IFERROR(__xludf.DUMMYFUNCTION("arrayformula( if( sum(J88:AN88 + 0), max( len( split( concatenate( left(J88:AN88) ), ""F"" ) ) ), ""0"" ) )"),"0")</f>
        <v>0</v>
      </c>
      <c r="AS88" s="26">
        <v>15.0</v>
      </c>
      <c r="AT88" s="27">
        <f t="shared" si="45"/>
        <v>0</v>
      </c>
    </row>
    <row r="89" hidden="1">
      <c r="A89" s="39"/>
      <c r="B89" s="40"/>
      <c r="C89" s="40"/>
      <c r="D89" s="40"/>
      <c r="E89" s="40"/>
      <c r="F89" s="40"/>
      <c r="G89" s="40"/>
      <c r="H89" s="40"/>
      <c r="I89" s="6"/>
      <c r="J89" s="38" t="b">
        <v>0</v>
      </c>
      <c r="K89" s="38" t="b">
        <v>0</v>
      </c>
      <c r="L89" s="38" t="b">
        <v>0</v>
      </c>
      <c r="M89" s="38" t="b">
        <v>0</v>
      </c>
      <c r="N89" s="38" t="b">
        <v>0</v>
      </c>
      <c r="O89" s="38" t="b">
        <v>0</v>
      </c>
      <c r="P89" s="38" t="b">
        <v>0</v>
      </c>
      <c r="Q89" s="38" t="b">
        <v>0</v>
      </c>
      <c r="R89" s="38" t="b">
        <v>0</v>
      </c>
      <c r="S89" s="38" t="b">
        <v>0</v>
      </c>
      <c r="T89" s="38" t="b">
        <v>0</v>
      </c>
      <c r="U89" s="38" t="b">
        <v>0</v>
      </c>
      <c r="V89" s="38" t="b">
        <v>0</v>
      </c>
      <c r="W89" s="38" t="b">
        <v>0</v>
      </c>
      <c r="X89" s="38" t="b">
        <v>0</v>
      </c>
      <c r="Y89" s="38" t="b">
        <v>0</v>
      </c>
      <c r="Z89" s="38" t="b">
        <v>0</v>
      </c>
      <c r="AA89" s="38" t="b">
        <v>0</v>
      </c>
      <c r="AB89" s="38" t="b">
        <v>0</v>
      </c>
      <c r="AC89" s="38" t="b">
        <v>0</v>
      </c>
      <c r="AD89" s="38" t="b">
        <v>0</v>
      </c>
      <c r="AE89" s="38" t="b">
        <v>0</v>
      </c>
      <c r="AF89" s="38" t="b">
        <v>0</v>
      </c>
      <c r="AG89" s="38" t="b">
        <v>0</v>
      </c>
      <c r="AH89" s="38" t="b">
        <v>0</v>
      </c>
      <c r="AI89" s="38" t="b">
        <v>0</v>
      </c>
      <c r="AJ89" s="38" t="b">
        <v>0</v>
      </c>
      <c r="AK89" s="38" t="b">
        <v>0</v>
      </c>
      <c r="AL89" s="38" t="b">
        <v>0</v>
      </c>
      <c r="AM89" s="38" t="b">
        <v>0</v>
      </c>
      <c r="AN89" s="38" t="b">
        <v>0</v>
      </c>
      <c r="AO89" s="25">
        <f t="shared" si="44"/>
        <v>0</v>
      </c>
      <c r="AQ89" s="25">
        <f>IFERROR(__xludf.DUMMYFUNCTION("if(iserror(match(true,J89:AN89,0)),0,len(index(split(substitute(substitute(join("","",J89:AN89)&amp;"","",""TRUE,"",""x""),""FALSE,"","",""),"",""),,counta(split(substitute(substitute(join("","",J89:AN89)&amp;"","",""TRUE,"",""x""),""FALSE,"","",""),"","")))))"),0.0)</f>
        <v>0</v>
      </c>
      <c r="AR89" s="25" t="str">
        <f>IFERROR(__xludf.DUMMYFUNCTION("arrayformula( if( sum(J89:AN89 + 0), max( len( split( concatenate( left(J89:AN89) ), ""F"" ) ) ), ""0"" ) )"),"0")</f>
        <v>0</v>
      </c>
      <c r="AS89" s="26">
        <v>15.0</v>
      </c>
      <c r="AT89" s="27">
        <f t="shared" si="45"/>
        <v>0</v>
      </c>
    </row>
    <row r="90" hidden="1">
      <c r="A90" s="39"/>
      <c r="B90" s="40"/>
      <c r="C90" s="40"/>
      <c r="D90" s="40"/>
      <c r="E90" s="40"/>
      <c r="F90" s="40"/>
      <c r="G90" s="40"/>
      <c r="H90" s="40"/>
      <c r="I90" s="6"/>
      <c r="J90" s="38" t="b">
        <v>0</v>
      </c>
      <c r="K90" s="38" t="b">
        <v>0</v>
      </c>
      <c r="L90" s="38" t="b">
        <v>0</v>
      </c>
      <c r="M90" s="38" t="b">
        <v>0</v>
      </c>
      <c r="N90" s="38" t="b">
        <v>0</v>
      </c>
      <c r="O90" s="38" t="b">
        <v>0</v>
      </c>
      <c r="P90" s="38" t="b">
        <v>0</v>
      </c>
      <c r="Q90" s="38" t="b">
        <v>0</v>
      </c>
      <c r="R90" s="38" t="b">
        <v>0</v>
      </c>
      <c r="S90" s="38" t="b">
        <v>0</v>
      </c>
      <c r="T90" s="38" t="b">
        <v>0</v>
      </c>
      <c r="U90" s="38" t="b">
        <v>0</v>
      </c>
      <c r="V90" s="38" t="b">
        <v>0</v>
      </c>
      <c r="W90" s="38" t="b">
        <v>0</v>
      </c>
      <c r="X90" s="38" t="b">
        <v>0</v>
      </c>
      <c r="Y90" s="38" t="b">
        <v>0</v>
      </c>
      <c r="Z90" s="38" t="b">
        <v>0</v>
      </c>
      <c r="AA90" s="38" t="b">
        <v>0</v>
      </c>
      <c r="AB90" s="38" t="b">
        <v>0</v>
      </c>
      <c r="AC90" s="38" t="b">
        <v>0</v>
      </c>
      <c r="AD90" s="38" t="b">
        <v>0</v>
      </c>
      <c r="AE90" s="38" t="b">
        <v>0</v>
      </c>
      <c r="AF90" s="38" t="b">
        <v>0</v>
      </c>
      <c r="AG90" s="38" t="b">
        <v>0</v>
      </c>
      <c r="AH90" s="38" t="b">
        <v>0</v>
      </c>
      <c r="AI90" s="38" t="b">
        <v>0</v>
      </c>
      <c r="AJ90" s="38" t="b">
        <v>0</v>
      </c>
      <c r="AK90" s="38" t="b">
        <v>0</v>
      </c>
      <c r="AL90" s="38" t="b">
        <v>0</v>
      </c>
      <c r="AM90" s="38" t="b">
        <v>0</v>
      </c>
      <c r="AN90" s="38" t="b">
        <v>0</v>
      </c>
      <c r="AO90" s="25">
        <f t="shared" si="44"/>
        <v>0</v>
      </c>
      <c r="AQ90" s="25">
        <f>IFERROR(__xludf.DUMMYFUNCTION("if(iserror(match(true,J90:AN90,0)),0,len(index(split(substitute(substitute(join("","",J90:AN90)&amp;"","",""TRUE,"",""x""),""FALSE,"","",""),"",""),,counta(split(substitute(substitute(join("","",J90:AN90)&amp;"","",""TRUE,"",""x""),""FALSE,"","",""),"","")))))"),0.0)</f>
        <v>0</v>
      </c>
      <c r="AR90" s="25" t="str">
        <f>IFERROR(__xludf.DUMMYFUNCTION("arrayformula( if( sum(J90:AN90 + 0), max( len( split( concatenate( left(J90:AN90) ), ""F"" ) ) ), ""0"" ) )"),"0")</f>
        <v>0</v>
      </c>
      <c r="AS90" s="26">
        <v>15.0</v>
      </c>
      <c r="AT90" s="27">
        <f t="shared" si="45"/>
        <v>0</v>
      </c>
    </row>
    <row r="91" hidden="1">
      <c r="A91" s="39"/>
      <c r="B91" s="40"/>
      <c r="C91" s="40"/>
      <c r="D91" s="40"/>
      <c r="E91" s="40"/>
      <c r="F91" s="40"/>
      <c r="G91" s="40"/>
      <c r="H91" s="40"/>
      <c r="I91" s="6"/>
      <c r="J91" s="38" t="b">
        <v>0</v>
      </c>
      <c r="K91" s="38" t="b">
        <v>0</v>
      </c>
      <c r="L91" s="38" t="b">
        <v>0</v>
      </c>
      <c r="M91" s="38" t="b">
        <v>0</v>
      </c>
      <c r="N91" s="38" t="b">
        <v>0</v>
      </c>
      <c r="O91" s="38" t="b">
        <v>0</v>
      </c>
      <c r="P91" s="38" t="b">
        <v>0</v>
      </c>
      <c r="Q91" s="38" t="b">
        <v>0</v>
      </c>
      <c r="R91" s="38" t="b">
        <v>0</v>
      </c>
      <c r="S91" s="38" t="b">
        <v>0</v>
      </c>
      <c r="T91" s="38" t="b">
        <v>0</v>
      </c>
      <c r="U91" s="38" t="b">
        <v>0</v>
      </c>
      <c r="V91" s="38" t="b">
        <v>0</v>
      </c>
      <c r="W91" s="38" t="b">
        <v>0</v>
      </c>
      <c r="X91" s="38" t="b">
        <v>0</v>
      </c>
      <c r="Y91" s="38" t="b">
        <v>0</v>
      </c>
      <c r="Z91" s="38" t="b">
        <v>0</v>
      </c>
      <c r="AA91" s="38" t="b">
        <v>0</v>
      </c>
      <c r="AB91" s="38" t="b">
        <v>0</v>
      </c>
      <c r="AC91" s="38" t="b">
        <v>0</v>
      </c>
      <c r="AD91" s="38" t="b">
        <v>0</v>
      </c>
      <c r="AE91" s="38" t="b">
        <v>0</v>
      </c>
      <c r="AF91" s="38" t="b">
        <v>0</v>
      </c>
      <c r="AG91" s="38" t="b">
        <v>0</v>
      </c>
      <c r="AH91" s="38" t="b">
        <v>0</v>
      </c>
      <c r="AI91" s="38" t="b">
        <v>0</v>
      </c>
      <c r="AJ91" s="38" t="b">
        <v>0</v>
      </c>
      <c r="AK91" s="38" t="b">
        <v>0</v>
      </c>
      <c r="AL91" s="38" t="b">
        <v>0</v>
      </c>
      <c r="AM91" s="38" t="b">
        <v>0</v>
      </c>
      <c r="AN91" s="38" t="b">
        <v>0</v>
      </c>
      <c r="AO91" s="25">
        <f t="shared" si="44"/>
        <v>0</v>
      </c>
      <c r="AQ91" s="25">
        <f>IFERROR(__xludf.DUMMYFUNCTION("if(iserror(match(true,J91:AN91,0)),0,len(index(split(substitute(substitute(join("","",J91:AN91)&amp;"","",""TRUE,"",""x""),""FALSE,"","",""),"",""),,counta(split(substitute(substitute(join("","",J91:AN91)&amp;"","",""TRUE,"",""x""),""FALSE,"","",""),"","")))))"),0.0)</f>
        <v>0</v>
      </c>
      <c r="AR91" s="25" t="str">
        <f>IFERROR(__xludf.DUMMYFUNCTION("arrayformula( if( sum(J91:AN91 + 0), max( len( split( concatenate( left(J91:AN91) ), ""F"" ) ) ), ""0"" ) )"),"0")</f>
        <v>0</v>
      </c>
      <c r="AS91" s="26">
        <v>15.0</v>
      </c>
      <c r="AT91" s="27">
        <f t="shared" si="45"/>
        <v>0</v>
      </c>
    </row>
    <row r="92">
      <c r="A92" s="38"/>
      <c r="B92" s="45"/>
      <c r="C92" s="45"/>
      <c r="D92" s="45"/>
      <c r="E92" s="45"/>
      <c r="F92" s="45"/>
      <c r="G92" s="45"/>
      <c r="H92" s="45"/>
      <c r="I92" s="45"/>
      <c r="J92" s="24" t="str">
        <f t="array" ref="J92">IF(COUNTIF(J72:J91, "TRUE") = 1, Setup!$E$4, 
IF(COUNTIF(J72:J91, "TRUE") = 0, Setup!$E$3,
IF(COUNTIF(J72:J91, "TRUE") = 2, Setup!$E$5, 
IF(COUNTIF(J72:J91, "TRUE") = 3, Setup!$E$6, 
IF(COUNTIF(J72:J91, "TRUE") = 4, Setup!$E$7, 
IF(COUNTIF(J72:J91, "TRUE") = 5, Setup!$E$8, 
IF(COUNTIF(J72:J91, "TRUE") &gt;= 6, Setup!$E$9)))
))))</f>
        <v/>
      </c>
      <c r="K92" s="24" t="str">
        <f t="array" ref="K92">IF(COUNTIF(K72:K91, "TRUE") = 1, Setup!$E$4, 
IF(COUNTIF(K72:K91, "TRUE") = 0, Setup!$E$3,
IF(COUNTIF(K72:K91, "TRUE") = 2, Setup!$E$5, 
IF(COUNTIF(K72:K91, "TRUE") = 3, Setup!$E$6, 
IF(COUNTIF(K72:K91, "TRUE") = 4, Setup!$E$7, 
IF(COUNTIF(K72:K91, "TRUE") = 5, Setup!$E$8, 
IF(COUNTIF(K72:K91, "TRUE") &gt;= 6, Setup!$E$9)))
))))</f>
        <v/>
      </c>
      <c r="L92" s="24" t="str">
        <f t="array" ref="L92">IF(COUNTIF(L72:L91, "TRUE") = 1, Setup!$E$4, 
IF(COUNTIF(L72:L91, "TRUE") = 0, Setup!$E$3,
IF(COUNTIF(L72:L91, "TRUE") = 2, Setup!$E$5, 
IF(COUNTIF(L72:L91, "TRUE") = 3, Setup!$E$6, 
IF(COUNTIF(L72:L91, "TRUE") = 4, Setup!$E$7, 
IF(COUNTIF(L72:L91, "TRUE") = 5, Setup!$E$8, 
IF(COUNTIF(L72:L91, "TRUE") &gt;= 6, Setup!$E$9)))
))))</f>
        <v/>
      </c>
      <c r="M92" s="24" t="str">
        <f t="array" ref="M92">IF(COUNTIF(M72:M91, "TRUE") = 1, Setup!$E$4, 
IF(COUNTIF(M72:M91, "TRUE") = 0, Setup!$E$3,
IF(COUNTIF(M72:M91, "TRUE") = 2, Setup!$E$5, 
IF(COUNTIF(M72:M91, "TRUE") = 3, Setup!$E$6, 
IF(COUNTIF(M72:M91, "TRUE") = 4, Setup!$E$7, 
IF(COUNTIF(M72:M91, "TRUE") = 5, Setup!$E$8, 
IF(COUNTIF(M72:M91, "TRUE") &gt;= 6, Setup!$E$9)))
))))</f>
        <v/>
      </c>
      <c r="N92" s="24" t="str">
        <f t="array" ref="N92">IF(COUNTIF(N72:N91, "TRUE") = 1, Setup!$E$4, 
IF(COUNTIF(N72:N91, "TRUE") = 0, Setup!$E$3,
IF(COUNTIF(N72:N91, "TRUE") = 2, Setup!$E$5, 
IF(COUNTIF(N72:N91, "TRUE") = 3, Setup!$E$6, 
IF(COUNTIF(N72:N91, "TRUE") = 4, Setup!$E$7, 
IF(COUNTIF(N72:N91, "TRUE") = 5, Setup!$E$8, 
IF(COUNTIF(N72:N91, "TRUE") &gt;= 6, Setup!$E$9)))
))))</f>
        <v/>
      </c>
      <c r="O92" s="24" t="str">
        <f t="array" ref="O92">IF(COUNTIF(O72:O91, "TRUE") = 1, Setup!$E$4, 
IF(COUNTIF(O72:O91, "TRUE") = 0, Setup!$E$3,
IF(COUNTIF(O72:O91, "TRUE") = 2, Setup!$E$5, 
IF(COUNTIF(O72:O91, "TRUE") = 3, Setup!$E$6, 
IF(COUNTIF(O72:O91, "TRUE") = 4, Setup!$E$7, 
IF(COUNTIF(O72:O91, "TRUE") = 5, Setup!$E$8, 
IF(COUNTIF(O72:O91, "TRUE") &gt;= 6, Setup!$E$9)))
))))</f>
        <v/>
      </c>
      <c r="P92" s="24" t="str">
        <f t="array" ref="P92">IF(COUNTIF(P72:P91, "TRUE") = 1, Setup!$E$4, 
IF(COUNTIF(P72:P91, "TRUE") = 0, Setup!$E$3,
IF(COUNTIF(P72:P91, "TRUE") = 2, Setup!$E$5, 
IF(COUNTIF(P72:P91, "TRUE") = 3, Setup!$E$6, 
IF(COUNTIF(P72:P91, "TRUE") = 4, Setup!$E$7, 
IF(COUNTIF(P72:P91, "TRUE") = 5, Setup!$E$8, 
IF(COUNTIF(P72:P91, "TRUE") &gt;= 6, Setup!$E$9)))
))))</f>
        <v/>
      </c>
      <c r="Q92" s="24" t="str">
        <f t="array" ref="Q92">IF(COUNTIF(Q72:Q91, "TRUE") = 1, Setup!$E$4, 
IF(COUNTIF(Q72:Q91, "TRUE") = 0, Setup!$E$3,
IF(COUNTIF(Q72:Q91, "TRUE") = 2, Setup!$E$5, 
IF(COUNTIF(Q72:Q91, "TRUE") = 3, Setup!$E$6, 
IF(COUNTIF(Q72:Q91, "TRUE") = 4, Setup!$E$7, 
IF(COUNTIF(Q72:Q91, "TRUE") = 5, Setup!$E$8, 
IF(COUNTIF(Q72:Q91, "TRUE") &gt;= 6, Setup!$E$9)))
))))</f>
        <v/>
      </c>
      <c r="R92" s="24" t="str">
        <f t="array" ref="R92">IF(COUNTIF(R72:R91, "TRUE") = 1, Setup!$E$4, 
IF(COUNTIF(R72:R91, "TRUE") = 0, Setup!$E$3,
IF(COUNTIF(R72:R91, "TRUE") = 2, Setup!$E$5, 
IF(COUNTIF(R72:R91, "TRUE") = 3, Setup!$E$6, 
IF(COUNTIF(R72:R91, "TRUE") = 4, Setup!$E$7, 
IF(COUNTIF(R72:R91, "TRUE") = 5, Setup!$E$8, 
IF(COUNTIF(R72:R91, "TRUE") &gt;= 6, Setup!$E$9)))
))))</f>
        <v/>
      </c>
      <c r="S92" s="24" t="str">
        <f t="array" ref="S92">IF(COUNTIF(S72:S91, "TRUE") = 1, Setup!$E$4, 
IF(COUNTIF(S72:S91, "TRUE") = 0, Setup!$E$3,
IF(COUNTIF(S72:S91, "TRUE") = 2, Setup!$E$5, 
IF(COUNTIF(S72:S91, "TRUE") = 3, Setup!$E$6, 
IF(COUNTIF(S72:S91, "TRUE") = 4, Setup!$E$7, 
IF(COUNTIF(S72:S91, "TRUE") = 5, Setup!$E$8, 
IF(COUNTIF(S72:S91, "TRUE") &gt;= 6, Setup!$E$9)))
))))</f>
        <v/>
      </c>
      <c r="T92" s="24" t="str">
        <f t="array" ref="T92">IF(COUNTIF(T72:T91, "TRUE") = 1, Setup!$E$4, 
IF(COUNTIF(T72:T91, "TRUE") = 0, Setup!$E$3,
IF(COUNTIF(T72:T91, "TRUE") = 2, Setup!$E$5, 
IF(COUNTIF(T72:T91, "TRUE") = 3, Setup!$E$6, 
IF(COUNTIF(T72:T91, "TRUE") = 4, Setup!$E$7, 
IF(COUNTIF(T72:T91, "TRUE") = 5, Setup!$E$8, 
IF(COUNTIF(T72:T91, "TRUE") &gt;= 6, Setup!$E$9)))
))))</f>
        <v/>
      </c>
      <c r="U92" s="24" t="str">
        <f t="array" ref="U92">IF(COUNTIF(U72:U91, "TRUE") = 1, Setup!$E$4, 
IF(COUNTIF(U72:U91, "TRUE") = 0, Setup!$E$3,
IF(COUNTIF(U72:U91, "TRUE") = 2, Setup!$E$5, 
IF(COUNTIF(U72:U91, "TRUE") = 3, Setup!$E$6, 
IF(COUNTIF(U72:U91, "TRUE") = 4, Setup!$E$7, 
IF(COUNTIF(U72:U91, "TRUE") = 5, Setup!$E$8, 
IF(COUNTIF(U72:U91, "TRUE") &gt;= 6, Setup!$E$9)))
))))</f>
        <v/>
      </c>
      <c r="V92" s="24" t="str">
        <f t="array" ref="V92">IF(COUNTIF(V72:V91, "TRUE") = 1, Setup!$E$4, 
IF(COUNTIF(V72:V91, "TRUE") = 0, Setup!$E$3,
IF(COUNTIF(V72:V91, "TRUE") = 2, Setup!$E$5, 
IF(COUNTIF(V72:V91, "TRUE") = 3, Setup!$E$6, 
IF(COUNTIF(V72:V91, "TRUE") = 4, Setup!$E$7, 
IF(COUNTIF(V72:V91, "TRUE") = 5, Setup!$E$8, 
IF(COUNTIF(V72:V91, "TRUE") &gt;= 6, Setup!$E$9)))
))))</f>
        <v/>
      </c>
      <c r="W92" s="24" t="str">
        <f t="array" ref="W92">IF(COUNTIF(W72:W91, "TRUE") = 1, Setup!$E$4, 
IF(COUNTIF(W72:W91, "TRUE") = 0, Setup!$E$3,
IF(COUNTIF(W72:W91, "TRUE") = 2, Setup!$E$5, 
IF(COUNTIF(W72:W91, "TRUE") = 3, Setup!$E$6, 
IF(COUNTIF(W72:W91, "TRUE") = 4, Setup!$E$7, 
IF(COUNTIF(W72:W91, "TRUE") = 5, Setup!$E$8, 
IF(COUNTIF(W72:W91, "TRUE") &gt;= 6, Setup!$E$9)))
))))</f>
        <v/>
      </c>
      <c r="X92" s="24" t="str">
        <f t="array" ref="X92">IF(COUNTIF(X72:X91, "TRUE") = 1, Setup!$E$4, 
IF(COUNTIF(X72:X91, "TRUE") = 0, Setup!$E$3,
IF(COUNTIF(X72:X91, "TRUE") = 2, Setup!$E$5, 
IF(COUNTIF(X72:X91, "TRUE") = 3, Setup!$E$6, 
IF(COUNTIF(X72:X91, "TRUE") = 4, Setup!$E$7, 
IF(COUNTIF(X72:X91, "TRUE") = 5, Setup!$E$8, 
IF(COUNTIF(X72:X91, "TRUE") &gt;= 6, Setup!$E$9)))
))))</f>
        <v/>
      </c>
      <c r="Y92" s="24" t="str">
        <f t="array" ref="Y92">IF(COUNTIF(Y72:Y91, "TRUE") = 1, Setup!$E$4, 
IF(COUNTIF(Y72:Y91, "TRUE") = 0, Setup!$E$3,
IF(COUNTIF(Y72:Y91, "TRUE") = 2, Setup!$E$5, 
IF(COUNTIF(Y72:Y91, "TRUE") = 3, Setup!$E$6, 
IF(COUNTIF(Y72:Y91, "TRUE") = 4, Setup!$E$7, 
IF(COUNTIF(Y72:Y91, "TRUE") = 5, Setup!$E$8, 
IF(COUNTIF(Y72:Y91, "TRUE") &gt;= 6, Setup!$E$9)))
))))</f>
        <v/>
      </c>
      <c r="Z92" s="24" t="str">
        <f t="array" ref="Z92">IF(COUNTIF(Z72:Z91, "TRUE") = 1, Setup!$E$4, 
IF(COUNTIF(Z72:Z91, "TRUE") = 0, Setup!$E$3,
IF(COUNTIF(Z72:Z91, "TRUE") = 2, Setup!$E$5, 
IF(COUNTIF(Z72:Z91, "TRUE") = 3, Setup!$E$6, 
IF(COUNTIF(Z72:Z91, "TRUE") = 4, Setup!$E$7, 
IF(COUNTIF(Z72:Z91, "TRUE") = 5, Setup!$E$8, 
IF(COUNTIF(Z72:Z91, "TRUE") &gt;= 6, Setup!$E$9)))
))))</f>
        <v/>
      </c>
      <c r="AA92" s="24" t="str">
        <f t="array" ref="AA92">IF(COUNTIF(AA72:AA91, "TRUE") = 1, Setup!$E$4, 
IF(COUNTIF(AA72:AA91, "TRUE") = 0, Setup!$E$3,
IF(COUNTIF(AA72:AA91, "TRUE") = 2, Setup!$E$5, 
IF(COUNTIF(AA72:AA91, "TRUE") = 3, Setup!$E$6, 
IF(COUNTIF(AA72:AA91, "TRUE") = 4, Setup!$E$7, 
IF(COUNTIF(AA72:AA91, "TRUE") = 5, Setup!$E$8, 
IF(COUNTIF(AA72:AA91, "TRUE") &gt;= 6, Setup!$E$9)))
))))</f>
        <v/>
      </c>
      <c r="AB92" s="24" t="str">
        <f t="array" ref="AB92">IF(COUNTIF(AB72:AB91, "TRUE") = 1, Setup!$E$4, 
IF(COUNTIF(AB72:AB91, "TRUE") = 0, Setup!$E$3,
IF(COUNTIF(AB72:AB91, "TRUE") = 2, Setup!$E$5, 
IF(COUNTIF(AB72:AB91, "TRUE") = 3, Setup!$E$6, 
IF(COUNTIF(AB72:AB91, "TRUE") = 4, Setup!$E$7, 
IF(COUNTIF(AB72:AB91, "TRUE") = 5, Setup!$E$8, 
IF(COUNTIF(AB72:AB91, "TRUE") &gt;= 6, Setup!$E$9)))
))))</f>
        <v/>
      </c>
      <c r="AC92" s="24" t="str">
        <f t="array" ref="AC92">IF(COUNTIF(AC72:AC91, "TRUE") = 1, Setup!$E$4, 
IF(COUNTIF(AC72:AC91, "TRUE") = 0, Setup!$E$3,
IF(COUNTIF(AC72:AC91, "TRUE") = 2, Setup!$E$5, 
IF(COUNTIF(AC72:AC91, "TRUE") = 3, Setup!$E$6, 
IF(COUNTIF(AC72:AC91, "TRUE") = 4, Setup!$E$7, 
IF(COUNTIF(AC72:AC91, "TRUE") = 5, Setup!$E$8, 
IF(COUNTIF(AC72:AC91, "TRUE") &gt;= 6, Setup!$E$9)))
))))</f>
        <v/>
      </c>
      <c r="AD92" s="24" t="str">
        <f t="array" ref="AD92">IF(COUNTIF(AD72:AD91, "TRUE") = 1, Setup!$E$4, 
IF(COUNTIF(AD72:AD91, "TRUE") = 0, Setup!$E$3,
IF(COUNTIF(AD72:AD91, "TRUE") = 2, Setup!$E$5, 
IF(COUNTIF(AD72:AD91, "TRUE") = 3, Setup!$E$6, 
IF(COUNTIF(AD72:AD91, "TRUE") = 4, Setup!$E$7, 
IF(COUNTIF(AD72:AD91, "TRUE") = 5, Setup!$E$8, 
IF(COUNTIF(AD72:AD91, "TRUE") &gt;= 6, Setup!$E$9)))
))))</f>
        <v/>
      </c>
      <c r="AE92" s="24" t="str">
        <f t="array" ref="AE92">IF(COUNTIF(AE72:AE91, "TRUE") = 1, Setup!$E$4, 
IF(COUNTIF(AE72:AE91, "TRUE") = 0, Setup!$E$3,
IF(COUNTIF(AE72:AE91, "TRUE") = 2, Setup!$E$5, 
IF(COUNTIF(AE72:AE91, "TRUE") = 3, Setup!$E$6, 
IF(COUNTIF(AE72:AE91, "TRUE") = 4, Setup!$E$7, 
IF(COUNTIF(AE72:AE91, "TRUE") = 5, Setup!$E$8, 
IF(COUNTIF(AE72:AE91, "TRUE") &gt;= 6, Setup!$E$9)))
))))</f>
        <v/>
      </c>
      <c r="AF92" s="24" t="str">
        <f t="array" ref="AF92">IF(COUNTIF(AF72:AF91, "TRUE") = 1, Setup!$E$4, 
IF(COUNTIF(AF72:AF91, "TRUE") = 0, Setup!$E$3,
IF(COUNTIF(AF72:AF91, "TRUE") = 2, Setup!$E$5, 
IF(COUNTIF(AF72:AF91, "TRUE") = 3, Setup!$E$6, 
IF(COUNTIF(AF72:AF91, "TRUE") = 4, Setup!$E$7, 
IF(COUNTIF(AF72:AF91, "TRUE") = 5, Setup!$E$8, 
IF(COUNTIF(AF72:AF91, "TRUE") &gt;= 6, Setup!$E$9)))
))))</f>
        <v/>
      </c>
      <c r="AG92" s="24" t="str">
        <f t="array" ref="AG92">IF(COUNTIF(AG72:AG91, "TRUE") = 1, Setup!$E$4, 
IF(COUNTIF(AG72:AG91, "TRUE") = 0, Setup!$E$3,
IF(COUNTIF(AG72:AG91, "TRUE") = 2, Setup!$E$5, 
IF(COUNTIF(AG72:AG91, "TRUE") = 3, Setup!$E$6, 
IF(COUNTIF(AG72:AG91, "TRUE") = 4, Setup!$E$7, 
IF(COUNTIF(AG72:AG91, "TRUE") = 5, Setup!$E$8, 
IF(COUNTIF(AG72:AG91, "TRUE") &gt;= 6, Setup!$E$9)))
))))</f>
        <v/>
      </c>
      <c r="AH92" s="24" t="str">
        <f t="array" ref="AH92">IF(COUNTIF(AH72:AH91, "TRUE") = 1, Setup!$E$4, 
IF(COUNTIF(AH72:AH91, "TRUE") = 0, Setup!$E$3,
IF(COUNTIF(AH72:AH91, "TRUE") = 2, Setup!$E$5, 
IF(COUNTIF(AH72:AH91, "TRUE") = 3, Setup!$E$6, 
IF(COUNTIF(AH72:AH91, "TRUE") = 4, Setup!$E$7, 
IF(COUNTIF(AH72:AH91, "TRUE") = 5, Setup!$E$8, 
IF(COUNTIF(AH72:AH91, "TRUE") &gt;= 6, Setup!$E$9)))
))))</f>
        <v/>
      </c>
      <c r="AI92" s="24" t="str">
        <f t="array" ref="AI92">IF(COUNTIF(AI72:AI91, "TRUE") = 1, Setup!$E$4, 
IF(COUNTIF(AI72:AI91, "TRUE") = 0, Setup!$E$3,
IF(COUNTIF(AI72:AI91, "TRUE") = 2, Setup!$E$5, 
IF(COUNTIF(AI72:AI91, "TRUE") = 3, Setup!$E$6, 
IF(COUNTIF(AI72:AI91, "TRUE") = 4, Setup!$E$7, 
IF(COUNTIF(AI72:AI91, "TRUE") = 5, Setup!$E$8, 
IF(COUNTIF(AI72:AI91, "TRUE") &gt;= 6, Setup!$E$9)))
))))</f>
        <v/>
      </c>
      <c r="AJ92" s="24" t="str">
        <f t="array" ref="AJ92">IF(COUNTIF(AJ72:AJ91, "TRUE") = 1, Setup!$E$4, 
IF(COUNTIF(AJ72:AJ91, "TRUE") = 0, Setup!$E$3,
IF(COUNTIF(AJ72:AJ91, "TRUE") = 2, Setup!$E$5, 
IF(COUNTIF(AJ72:AJ91, "TRUE") = 3, Setup!$E$6, 
IF(COUNTIF(AJ72:AJ91, "TRUE") = 4, Setup!$E$7, 
IF(COUNTIF(AJ72:AJ91, "TRUE") = 5, Setup!$E$8, 
IF(COUNTIF(AJ72:AJ91, "TRUE") &gt;= 6, Setup!$E$9)))
))))</f>
        <v/>
      </c>
      <c r="AK92" s="24" t="str">
        <f t="array" ref="AK92">IF(COUNTIF(AK72:AK91, "TRUE") = 1, Setup!$E$4, 
IF(COUNTIF(AK72:AK91, "TRUE") = 0, Setup!$E$3,
IF(COUNTIF(AK72:AK91, "TRUE") = 2, Setup!$E$5, 
IF(COUNTIF(AK72:AK91, "TRUE") = 3, Setup!$E$6, 
IF(COUNTIF(AK72:AK91, "TRUE") = 4, Setup!$E$7, 
IF(COUNTIF(AK72:AK91, "TRUE") = 5, Setup!$E$8, 
IF(COUNTIF(AK72:AK91, "TRUE") &gt;= 6, Setup!$E$9)))
))))</f>
        <v/>
      </c>
      <c r="AL92" s="24" t="str">
        <f t="array" ref="AL92">IF(COUNTIF(AL72:AL91, "TRUE") = 1, Setup!$E$4, 
IF(COUNTIF(AL72:AL91, "TRUE") = 0, Setup!$E$3,
IF(COUNTIF(AL72:AL91, "TRUE") = 2, Setup!$E$5, 
IF(COUNTIF(AL72:AL91, "TRUE") = 3, Setup!$E$6, 
IF(COUNTIF(AL72:AL91, "TRUE") = 4, Setup!$E$7, 
IF(COUNTIF(AL72:AL91, "TRUE") = 5, Setup!$E$8, 
IF(COUNTIF(AL72:AL91, "TRUE") &gt;= 6, Setup!$E$9)))
))))</f>
        <v/>
      </c>
      <c r="AM92" s="24" t="str">
        <f t="array" ref="AM92">IF(COUNTIF(AM72:AM91, "TRUE") = 1, Setup!$E$4, 
IF(COUNTIF(AM72:AM91, "TRUE") = 0, Setup!$E$3,
IF(COUNTIF(AM72:AM91, "TRUE") = 2, Setup!$E$5, 
IF(COUNTIF(AM72:AM91, "TRUE") = 3, Setup!$E$6, 
IF(COUNTIF(AM72:AM91, "TRUE") = 4, Setup!$E$7, 
IF(COUNTIF(AM72:AM91, "TRUE") = 5, Setup!$E$8, 
IF(COUNTIF(AM72:AM91, "TRUE") &gt;= 6, Setup!$E$9)))
))))</f>
        <v/>
      </c>
      <c r="AN92" s="24" t="str">
        <f t="array" ref="AN92">IF(COUNTIF(AN72:AN91, "TRUE") = 1, Setup!$E$4, 
IF(COUNTIF(AN72:AN91, "TRUE") = 0, Setup!$E$3,
IF(COUNTIF(AN72:AN91, "TRUE") = 2, Setup!$E$5, 
IF(COUNTIF(AN72:AN91, "TRUE") = 3, Setup!$E$6, 
IF(COUNTIF(AN72:AN91, "TRUE") = 4, Setup!$E$7, 
IF(COUNTIF(AN72:AN91, "TRUE") = 5, Setup!$E$8, 
IF(COUNTIF(AN72:AN91, "TRUE") &gt;= 6, Setup!$E$9)))
))))</f>
        <v/>
      </c>
      <c r="AO92" s="38"/>
      <c r="AQ92" s="38"/>
      <c r="AR92" s="38"/>
      <c r="AS92" s="38"/>
      <c r="AT92" s="38"/>
    </row>
    <row r="93">
      <c r="A93" s="13" t="s">
        <v>44</v>
      </c>
      <c r="B93" s="13" t="s">
        <v>45</v>
      </c>
      <c r="I93" s="15" t="s">
        <v>46</v>
      </c>
      <c r="J93" s="16">
        <f t="array" ref="J93">DATE($D$1, MATCH(I93, {"January","February","March","April","May","June","July","August","September","October","November","December"}, 0), 1)</f>
        <v>46143</v>
      </c>
      <c r="K93" s="16">
        <f t="shared" ref="K93:AN93" si="53">J93+1</f>
        <v>46144</v>
      </c>
      <c r="L93" s="16">
        <f t="shared" si="53"/>
        <v>46145</v>
      </c>
      <c r="M93" s="16">
        <f t="shared" si="53"/>
        <v>46146</v>
      </c>
      <c r="N93" s="16">
        <f t="shared" si="53"/>
        <v>46147</v>
      </c>
      <c r="O93" s="16">
        <f t="shared" si="53"/>
        <v>46148</v>
      </c>
      <c r="P93" s="16">
        <f t="shared" si="53"/>
        <v>46149</v>
      </c>
      <c r="Q93" s="16">
        <f t="shared" si="53"/>
        <v>46150</v>
      </c>
      <c r="R93" s="16">
        <f t="shared" si="53"/>
        <v>46151</v>
      </c>
      <c r="S93" s="16">
        <f t="shared" si="53"/>
        <v>46152</v>
      </c>
      <c r="T93" s="16">
        <f t="shared" si="53"/>
        <v>46153</v>
      </c>
      <c r="U93" s="16">
        <f t="shared" si="53"/>
        <v>46154</v>
      </c>
      <c r="V93" s="16">
        <f t="shared" si="53"/>
        <v>46155</v>
      </c>
      <c r="W93" s="16">
        <f t="shared" si="53"/>
        <v>46156</v>
      </c>
      <c r="X93" s="16">
        <f t="shared" si="53"/>
        <v>46157</v>
      </c>
      <c r="Y93" s="16">
        <f t="shared" si="53"/>
        <v>46158</v>
      </c>
      <c r="Z93" s="16">
        <f t="shared" si="53"/>
        <v>46159</v>
      </c>
      <c r="AA93" s="16">
        <f t="shared" si="53"/>
        <v>46160</v>
      </c>
      <c r="AB93" s="16">
        <f t="shared" si="53"/>
        <v>46161</v>
      </c>
      <c r="AC93" s="16">
        <f t="shared" si="53"/>
        <v>46162</v>
      </c>
      <c r="AD93" s="16">
        <f t="shared" si="53"/>
        <v>46163</v>
      </c>
      <c r="AE93" s="16">
        <f t="shared" si="53"/>
        <v>46164</v>
      </c>
      <c r="AF93" s="16">
        <f t="shared" si="53"/>
        <v>46165</v>
      </c>
      <c r="AG93" s="16">
        <f t="shared" si="53"/>
        <v>46166</v>
      </c>
      <c r="AH93" s="16">
        <f t="shared" si="53"/>
        <v>46167</v>
      </c>
      <c r="AI93" s="16">
        <f t="shared" si="53"/>
        <v>46168</v>
      </c>
      <c r="AJ93" s="16">
        <f t="shared" si="53"/>
        <v>46169</v>
      </c>
      <c r="AK93" s="16">
        <f t="shared" si="53"/>
        <v>46170</v>
      </c>
      <c r="AL93" s="16">
        <f t="shared" si="53"/>
        <v>46171</v>
      </c>
      <c r="AM93" s="16">
        <f t="shared" si="53"/>
        <v>46172</v>
      </c>
      <c r="AN93" s="16">
        <f t="shared" si="53"/>
        <v>46173</v>
      </c>
      <c r="AO93" s="17" t="s">
        <v>28</v>
      </c>
      <c r="AQ93" s="18" t="s">
        <v>29</v>
      </c>
      <c r="AR93" s="18" t="s">
        <v>30</v>
      </c>
      <c r="AS93" s="18" t="s">
        <v>31</v>
      </c>
      <c r="AT93" s="18" t="s">
        <v>32</v>
      </c>
    </row>
    <row r="94" ht="15.0" customHeight="1">
      <c r="A94" s="34"/>
      <c r="B94" s="34"/>
      <c r="I94" s="35"/>
      <c r="J94" s="36">
        <f t="shared" ref="J94:AN94" si="54">J93</f>
        <v>46143</v>
      </c>
      <c r="K94" s="36">
        <f t="shared" si="54"/>
        <v>46144</v>
      </c>
      <c r="L94" s="36">
        <f t="shared" si="54"/>
        <v>46145</v>
      </c>
      <c r="M94" s="36">
        <f t="shared" si="54"/>
        <v>46146</v>
      </c>
      <c r="N94" s="36">
        <f t="shared" si="54"/>
        <v>46147</v>
      </c>
      <c r="O94" s="36">
        <f t="shared" si="54"/>
        <v>46148</v>
      </c>
      <c r="P94" s="36">
        <f t="shared" si="54"/>
        <v>46149</v>
      </c>
      <c r="Q94" s="36">
        <f t="shared" si="54"/>
        <v>46150</v>
      </c>
      <c r="R94" s="36">
        <f t="shared" si="54"/>
        <v>46151</v>
      </c>
      <c r="S94" s="36">
        <f t="shared" si="54"/>
        <v>46152</v>
      </c>
      <c r="T94" s="36">
        <f t="shared" si="54"/>
        <v>46153</v>
      </c>
      <c r="U94" s="36">
        <f t="shared" si="54"/>
        <v>46154</v>
      </c>
      <c r="V94" s="36">
        <f t="shared" si="54"/>
        <v>46155</v>
      </c>
      <c r="W94" s="36">
        <f t="shared" si="54"/>
        <v>46156</v>
      </c>
      <c r="X94" s="36">
        <f t="shared" si="54"/>
        <v>46157</v>
      </c>
      <c r="Y94" s="36">
        <f t="shared" si="54"/>
        <v>46158</v>
      </c>
      <c r="Z94" s="36">
        <f t="shared" si="54"/>
        <v>46159</v>
      </c>
      <c r="AA94" s="36">
        <f t="shared" si="54"/>
        <v>46160</v>
      </c>
      <c r="AB94" s="36">
        <f t="shared" si="54"/>
        <v>46161</v>
      </c>
      <c r="AC94" s="36">
        <f t="shared" si="54"/>
        <v>46162</v>
      </c>
      <c r="AD94" s="36">
        <f t="shared" si="54"/>
        <v>46163</v>
      </c>
      <c r="AE94" s="36">
        <f t="shared" si="54"/>
        <v>46164</v>
      </c>
      <c r="AF94" s="36">
        <f t="shared" si="54"/>
        <v>46165</v>
      </c>
      <c r="AG94" s="36">
        <f t="shared" si="54"/>
        <v>46166</v>
      </c>
      <c r="AH94" s="36">
        <f t="shared" si="54"/>
        <v>46167</v>
      </c>
      <c r="AI94" s="36">
        <f t="shared" si="54"/>
        <v>46168</v>
      </c>
      <c r="AJ94" s="36">
        <f t="shared" si="54"/>
        <v>46169</v>
      </c>
      <c r="AK94" s="36">
        <f t="shared" si="54"/>
        <v>46170</v>
      </c>
      <c r="AL94" s="36">
        <f t="shared" si="54"/>
        <v>46171</v>
      </c>
      <c r="AM94" s="36">
        <f t="shared" si="54"/>
        <v>46172</v>
      </c>
      <c r="AN94" s="36">
        <f t="shared" si="54"/>
        <v>46173</v>
      </c>
    </row>
    <row r="95">
      <c r="A95" s="22"/>
      <c r="B95" s="46" t="str">
        <f t="shared" ref="B95:H95" si="55">IF($E$2="Monday", TEXT(TODAY()-WEEKDAY(TODAY(),2)+COLUMN(B95)-1,"ddd"), TEXT(TODAY()-WEEKDAY(TODAY(),1)+IF(COLUMN(B95)&gt;1,COLUMN(B95)-1,7),"ddd"))
</f>
        <v>Mon</v>
      </c>
      <c r="C95" s="46" t="str">
        <f t="shared" si="55"/>
        <v>Tue</v>
      </c>
      <c r="D95" s="46" t="str">
        <f t="shared" si="55"/>
        <v>Wed</v>
      </c>
      <c r="E95" s="46" t="str">
        <f t="shared" si="55"/>
        <v>Thu</v>
      </c>
      <c r="F95" s="46" t="str">
        <f t="shared" si="55"/>
        <v>Fri</v>
      </c>
      <c r="G95" s="46" t="str">
        <f t="shared" si="55"/>
        <v>Sat</v>
      </c>
      <c r="H95" s="46" t="str">
        <f t="shared" si="55"/>
        <v>Sun</v>
      </c>
      <c r="I95" s="6" t="str">
        <f t="array" ref="I95:I114">Setup!$B$3:$B$22</f>
        <v>🧘🏻‍♀️Yoga</v>
      </c>
      <c r="J95" s="38" t="b">
        <v>0</v>
      </c>
      <c r="K95" s="24" t="b">
        <v>0</v>
      </c>
      <c r="L95" s="38" t="b">
        <v>0</v>
      </c>
      <c r="M95" s="38" t="b">
        <v>0</v>
      </c>
      <c r="N95" s="38" t="b">
        <v>0</v>
      </c>
      <c r="O95" s="38" t="b">
        <v>0</v>
      </c>
      <c r="P95" s="38" t="b">
        <v>0</v>
      </c>
      <c r="Q95" s="38" t="b">
        <v>0</v>
      </c>
      <c r="R95" s="38" t="b">
        <v>0</v>
      </c>
      <c r="S95" s="38" t="b">
        <v>0</v>
      </c>
      <c r="T95" s="38" t="b">
        <v>0</v>
      </c>
      <c r="U95" s="38" t="b">
        <v>0</v>
      </c>
      <c r="V95" s="38" t="b">
        <v>0</v>
      </c>
      <c r="W95" s="38" t="b">
        <v>0</v>
      </c>
      <c r="X95" s="38" t="b">
        <v>0</v>
      </c>
      <c r="Y95" s="38" t="b">
        <v>0</v>
      </c>
      <c r="Z95" s="38" t="b">
        <v>0</v>
      </c>
      <c r="AA95" s="38" t="b">
        <v>0</v>
      </c>
      <c r="AB95" s="38" t="b">
        <v>0</v>
      </c>
      <c r="AC95" s="38" t="b">
        <v>0</v>
      </c>
      <c r="AD95" s="38" t="b">
        <v>0</v>
      </c>
      <c r="AE95" s="38" t="b">
        <v>0</v>
      </c>
      <c r="AF95" s="38" t="b">
        <v>0</v>
      </c>
      <c r="AG95" s="38" t="b">
        <v>0</v>
      </c>
      <c r="AH95" s="38" t="b">
        <v>0</v>
      </c>
      <c r="AI95" s="38" t="b">
        <v>0</v>
      </c>
      <c r="AJ95" s="38" t="b">
        <v>0</v>
      </c>
      <c r="AK95" s="38" t="b">
        <v>0</v>
      </c>
      <c r="AL95" s="38" t="b">
        <v>0</v>
      </c>
      <c r="AM95" s="38" t="b">
        <v>0</v>
      </c>
      <c r="AN95" s="38" t="b">
        <v>0</v>
      </c>
      <c r="AO95" s="25">
        <f t="shared" ref="AO95:AO114" si="57">COUNTIF(J95:AN95, "TRUE")</f>
        <v>0</v>
      </c>
      <c r="AQ95" s="25">
        <f>IFERROR(__xludf.DUMMYFUNCTION("if(iserror(match(true,J95:AN95,0)),0,len(index(split(substitute(substitute(join("","",J95:AN95)&amp;"","",""TRUE,"",""x""),""FALSE,"","",""),"",""),,counta(split(substitute(substitute(join("","",J95:AN95)&amp;"","",""TRUE,"",""x""),""FALSE,"","",""),"","")))))"),0.0)</f>
        <v>0</v>
      </c>
      <c r="AR95" s="25" t="str">
        <f>IFERROR(__xludf.DUMMYFUNCTION("arrayformula( if( sum(J95:AN95 + 0), max( len( split( concatenate( left(J95:AN95) ), ""F"" ) ) ), ""0"" ) )"),"0")</f>
        <v>0</v>
      </c>
      <c r="AS95" s="26">
        <v>15.0</v>
      </c>
      <c r="AT95" s="27">
        <f t="shared" ref="AT95:AT114" si="58">AO95/AS95</f>
        <v>0</v>
      </c>
    </row>
    <row r="96">
      <c r="A96" s="28">
        <f>WEEKNUM(DATE($D$1, MONTH(I93 &amp; 1), 1), 2)
</f>
        <v>18</v>
      </c>
      <c r="B96" s="29">
        <f t="array" ref="B96">IFERROR(DATE($D$1, 1, (A96-1)*7 + 2 - WEEKDAY(DATE($D$1, 1, 1) - MATCH(B95, {"Mon","Tue","Wed","Thu","Fri","Sat","Sun"}, 0))), "")</f>
        <v>46139</v>
      </c>
      <c r="C96" s="30">
        <f t="shared" ref="C96:H96" si="56">B96+1</f>
        <v>46140</v>
      </c>
      <c r="D96" s="30">
        <f t="shared" si="56"/>
        <v>46141</v>
      </c>
      <c r="E96" s="30">
        <f t="shared" si="56"/>
        <v>46142</v>
      </c>
      <c r="F96" s="30">
        <f t="shared" si="56"/>
        <v>46143</v>
      </c>
      <c r="G96" s="30">
        <f t="shared" si="56"/>
        <v>46144</v>
      </c>
      <c r="H96" s="30">
        <f t="shared" si="56"/>
        <v>46145</v>
      </c>
      <c r="I96" s="6" t="s">
        <v>7</v>
      </c>
      <c r="J96" s="38" t="b">
        <v>0</v>
      </c>
      <c r="K96" s="24" t="b">
        <v>0</v>
      </c>
      <c r="L96" s="38" t="b">
        <v>0</v>
      </c>
      <c r="M96" s="38" t="b">
        <v>0</v>
      </c>
      <c r="N96" s="38" t="b">
        <v>0</v>
      </c>
      <c r="O96" s="38" t="b">
        <v>0</v>
      </c>
      <c r="P96" s="38" t="b">
        <v>0</v>
      </c>
      <c r="Q96" s="38" t="b">
        <v>0</v>
      </c>
      <c r="R96" s="38" t="b">
        <v>0</v>
      </c>
      <c r="S96" s="38" t="b">
        <v>0</v>
      </c>
      <c r="T96" s="38" t="b">
        <v>0</v>
      </c>
      <c r="U96" s="38" t="b">
        <v>0</v>
      </c>
      <c r="V96" s="38" t="b">
        <v>0</v>
      </c>
      <c r="W96" s="38" t="b">
        <v>0</v>
      </c>
      <c r="X96" s="38" t="b">
        <v>0</v>
      </c>
      <c r="Y96" s="38" t="b">
        <v>0</v>
      </c>
      <c r="Z96" s="38" t="b">
        <v>0</v>
      </c>
      <c r="AA96" s="38" t="b">
        <v>0</v>
      </c>
      <c r="AB96" s="38" t="b">
        <v>0</v>
      </c>
      <c r="AC96" s="38" t="b">
        <v>0</v>
      </c>
      <c r="AD96" s="38" t="b">
        <v>0</v>
      </c>
      <c r="AE96" s="38" t="b">
        <v>0</v>
      </c>
      <c r="AF96" s="38" t="b">
        <v>0</v>
      </c>
      <c r="AG96" s="38" t="b">
        <v>0</v>
      </c>
      <c r="AH96" s="38" t="b">
        <v>0</v>
      </c>
      <c r="AI96" s="38" t="b">
        <v>0</v>
      </c>
      <c r="AJ96" s="38" t="b">
        <v>0</v>
      </c>
      <c r="AK96" s="38" t="b">
        <v>0</v>
      </c>
      <c r="AL96" s="38" t="b">
        <v>0</v>
      </c>
      <c r="AM96" s="38" t="b">
        <v>0</v>
      </c>
      <c r="AN96" s="38" t="b">
        <v>0</v>
      </c>
      <c r="AO96" s="25">
        <f t="shared" si="57"/>
        <v>0</v>
      </c>
      <c r="AQ96" s="25">
        <f>IFERROR(__xludf.DUMMYFUNCTION("if(iserror(match(true,J96:AN96,0)),0,len(index(split(substitute(substitute(join("","",J96:AN96)&amp;"","",""TRUE,"",""x""),""FALSE,"","",""),"",""),,counta(split(substitute(substitute(join("","",J96:AN96)&amp;"","",""TRUE,"",""x""),""FALSE,"","",""),"","")))))"),0.0)</f>
        <v>0</v>
      </c>
      <c r="AR96" s="25" t="str">
        <f>IFERROR(__xludf.DUMMYFUNCTION("arrayformula( if( sum(J96:AN96 + 0), max( len( split( concatenate( left(J96:AN96) ), ""F"" ) ) ), ""0"" ) )"),"0")</f>
        <v>0</v>
      </c>
      <c r="AS96" s="26">
        <v>20.0</v>
      </c>
      <c r="AT96" s="27">
        <f t="shared" si="58"/>
        <v>0</v>
      </c>
    </row>
    <row r="97">
      <c r="A97" s="31">
        <f t="shared" ref="A97:A101" si="60">A96+1</f>
        <v>19</v>
      </c>
      <c r="B97" s="30">
        <f t="shared" ref="B97:B101" si="61">H96+1</f>
        <v>46146</v>
      </c>
      <c r="C97" s="30">
        <f t="shared" ref="C97:H97" si="59">B97+1</f>
        <v>46147</v>
      </c>
      <c r="D97" s="30">
        <f t="shared" si="59"/>
        <v>46148</v>
      </c>
      <c r="E97" s="30">
        <f t="shared" si="59"/>
        <v>46149</v>
      </c>
      <c r="F97" s="30">
        <f t="shared" si="59"/>
        <v>46150</v>
      </c>
      <c r="G97" s="30">
        <f t="shared" si="59"/>
        <v>46151</v>
      </c>
      <c r="H97" s="30">
        <f t="shared" si="59"/>
        <v>46152</v>
      </c>
      <c r="I97" s="6" t="s">
        <v>11</v>
      </c>
      <c r="J97" s="38" t="b">
        <v>0</v>
      </c>
      <c r="K97" s="24" t="b">
        <v>0</v>
      </c>
      <c r="L97" s="38" t="b">
        <v>0</v>
      </c>
      <c r="M97" s="38" t="b">
        <v>0</v>
      </c>
      <c r="N97" s="38" t="b">
        <v>0</v>
      </c>
      <c r="O97" s="38" t="b">
        <v>0</v>
      </c>
      <c r="P97" s="38" t="b">
        <v>0</v>
      </c>
      <c r="Q97" s="38" t="b">
        <v>0</v>
      </c>
      <c r="R97" s="38" t="b">
        <v>0</v>
      </c>
      <c r="S97" s="38" t="b">
        <v>0</v>
      </c>
      <c r="T97" s="38" t="b">
        <v>0</v>
      </c>
      <c r="U97" s="38" t="b">
        <v>0</v>
      </c>
      <c r="V97" s="38" t="b">
        <v>0</v>
      </c>
      <c r="W97" s="38" t="b">
        <v>0</v>
      </c>
      <c r="X97" s="38" t="b">
        <v>0</v>
      </c>
      <c r="Y97" s="38" t="b">
        <v>0</v>
      </c>
      <c r="Z97" s="38" t="b">
        <v>0</v>
      </c>
      <c r="AA97" s="38" t="b">
        <v>0</v>
      </c>
      <c r="AB97" s="38" t="b">
        <v>0</v>
      </c>
      <c r="AC97" s="38" t="b">
        <v>0</v>
      </c>
      <c r="AD97" s="38" t="b">
        <v>0</v>
      </c>
      <c r="AE97" s="38" t="b">
        <v>0</v>
      </c>
      <c r="AF97" s="38" t="b">
        <v>0</v>
      </c>
      <c r="AG97" s="38" t="b">
        <v>0</v>
      </c>
      <c r="AH97" s="38" t="b">
        <v>0</v>
      </c>
      <c r="AI97" s="38" t="b">
        <v>0</v>
      </c>
      <c r="AJ97" s="38" t="b">
        <v>0</v>
      </c>
      <c r="AK97" s="38" t="b">
        <v>0</v>
      </c>
      <c r="AL97" s="38" t="b">
        <v>0</v>
      </c>
      <c r="AM97" s="38" t="b">
        <v>0</v>
      </c>
      <c r="AN97" s="38" t="b">
        <v>0</v>
      </c>
      <c r="AO97" s="25">
        <f t="shared" si="57"/>
        <v>0</v>
      </c>
      <c r="AQ97" s="25">
        <f>IFERROR(__xludf.DUMMYFUNCTION("if(iserror(match(true,J97:AN97,0)),0,len(index(split(substitute(substitute(join("","",J97:AN97)&amp;"","",""TRUE,"",""x""),""FALSE,"","",""),"",""),,counta(split(substitute(substitute(join("","",J97:AN97)&amp;"","",""TRUE,"",""x""),""FALSE,"","",""),"","")))))"),0.0)</f>
        <v>0</v>
      </c>
      <c r="AR97" s="25" t="str">
        <f>IFERROR(__xludf.DUMMYFUNCTION("arrayformula( if( sum(J97:AN97 + 0), max( len( split( concatenate( left(J97:AN97) ), ""F"" ) ) ), ""0"" ) )"),"0")</f>
        <v>0</v>
      </c>
      <c r="AS97" s="26">
        <v>30.0</v>
      </c>
      <c r="AT97" s="27">
        <f t="shared" si="58"/>
        <v>0</v>
      </c>
    </row>
    <row r="98">
      <c r="A98" s="31">
        <f t="shared" si="60"/>
        <v>20</v>
      </c>
      <c r="B98" s="30">
        <f t="shared" si="61"/>
        <v>46153</v>
      </c>
      <c r="C98" s="30">
        <f t="shared" ref="C98:H98" si="62">B98+1</f>
        <v>46154</v>
      </c>
      <c r="D98" s="30">
        <f t="shared" si="62"/>
        <v>46155</v>
      </c>
      <c r="E98" s="30">
        <f t="shared" si="62"/>
        <v>46156</v>
      </c>
      <c r="F98" s="30">
        <f t="shared" si="62"/>
        <v>46157</v>
      </c>
      <c r="G98" s="30">
        <f t="shared" si="62"/>
        <v>46158</v>
      </c>
      <c r="H98" s="30">
        <f t="shared" si="62"/>
        <v>46159</v>
      </c>
      <c r="I98" s="6" t="s">
        <v>14</v>
      </c>
      <c r="J98" s="38" t="b">
        <v>0</v>
      </c>
      <c r="K98" s="24" t="b">
        <v>0</v>
      </c>
      <c r="L98" s="38" t="b">
        <v>0</v>
      </c>
      <c r="M98" s="38" t="b">
        <v>0</v>
      </c>
      <c r="N98" s="38" t="b">
        <v>0</v>
      </c>
      <c r="O98" s="38" t="b">
        <v>0</v>
      </c>
      <c r="P98" s="38" t="b">
        <v>0</v>
      </c>
      <c r="Q98" s="38" t="b">
        <v>0</v>
      </c>
      <c r="R98" s="38" t="b">
        <v>0</v>
      </c>
      <c r="S98" s="38" t="b">
        <v>0</v>
      </c>
      <c r="T98" s="38" t="b">
        <v>0</v>
      </c>
      <c r="U98" s="38" t="b">
        <v>0</v>
      </c>
      <c r="V98" s="38" t="b">
        <v>0</v>
      </c>
      <c r="W98" s="38" t="b">
        <v>0</v>
      </c>
      <c r="X98" s="38" t="b">
        <v>0</v>
      </c>
      <c r="Y98" s="38" t="b">
        <v>0</v>
      </c>
      <c r="Z98" s="38" t="b">
        <v>0</v>
      </c>
      <c r="AA98" s="38" t="b">
        <v>0</v>
      </c>
      <c r="AB98" s="38" t="b">
        <v>0</v>
      </c>
      <c r="AC98" s="38" t="b">
        <v>0</v>
      </c>
      <c r="AD98" s="38" t="b">
        <v>0</v>
      </c>
      <c r="AE98" s="38" t="b">
        <v>0</v>
      </c>
      <c r="AF98" s="38" t="b">
        <v>0</v>
      </c>
      <c r="AG98" s="38" t="b">
        <v>0</v>
      </c>
      <c r="AH98" s="38" t="b">
        <v>0</v>
      </c>
      <c r="AI98" s="38" t="b">
        <v>0</v>
      </c>
      <c r="AJ98" s="38" t="b">
        <v>0</v>
      </c>
      <c r="AK98" s="38" t="b">
        <v>0</v>
      </c>
      <c r="AL98" s="38" t="b">
        <v>0</v>
      </c>
      <c r="AM98" s="38" t="b">
        <v>0</v>
      </c>
      <c r="AN98" s="38" t="b">
        <v>0</v>
      </c>
      <c r="AO98" s="25">
        <f t="shared" si="57"/>
        <v>0</v>
      </c>
      <c r="AQ98" s="25">
        <f>IFERROR(__xludf.DUMMYFUNCTION("if(iserror(match(true,J98:AN98,0)),0,len(index(split(substitute(substitute(join("","",J98:AN98)&amp;"","",""TRUE,"",""x""),""FALSE,"","",""),"",""),,counta(split(substitute(substitute(join("","",J98:AN98)&amp;"","",""TRUE,"",""x""),""FALSE,"","",""),"","")))))"),0.0)</f>
        <v>0</v>
      </c>
      <c r="AR98" s="25" t="str">
        <f>IFERROR(__xludf.DUMMYFUNCTION("arrayformula( if( sum(J98:AN98 + 0), max( len( split( concatenate( left(J98:AN98) ), ""F"" ) ) ), ""0"" ) )"),"0")</f>
        <v>0</v>
      </c>
      <c r="AS98" s="26">
        <v>20.0</v>
      </c>
      <c r="AT98" s="27">
        <f t="shared" si="58"/>
        <v>0</v>
      </c>
    </row>
    <row r="99">
      <c r="A99" s="31">
        <f t="shared" si="60"/>
        <v>21</v>
      </c>
      <c r="B99" s="30">
        <f t="shared" si="61"/>
        <v>46160</v>
      </c>
      <c r="C99" s="30">
        <f t="shared" ref="C99:H99" si="63">B99+1</f>
        <v>46161</v>
      </c>
      <c r="D99" s="30">
        <f t="shared" si="63"/>
        <v>46162</v>
      </c>
      <c r="E99" s="30">
        <f t="shared" si="63"/>
        <v>46163</v>
      </c>
      <c r="F99" s="30">
        <f t="shared" si="63"/>
        <v>46164</v>
      </c>
      <c r="G99" s="30">
        <f t="shared" si="63"/>
        <v>46165</v>
      </c>
      <c r="H99" s="30">
        <f t="shared" si="63"/>
        <v>46166</v>
      </c>
      <c r="I99" s="6" t="s">
        <v>17</v>
      </c>
      <c r="J99" s="24" t="b">
        <v>0</v>
      </c>
      <c r="K99" s="24" t="b">
        <v>0</v>
      </c>
      <c r="L99" s="38" t="b">
        <v>0</v>
      </c>
      <c r="M99" s="38" t="b">
        <v>0</v>
      </c>
      <c r="N99" s="38" t="b">
        <v>0</v>
      </c>
      <c r="O99" s="38" t="b">
        <v>0</v>
      </c>
      <c r="P99" s="38" t="b">
        <v>0</v>
      </c>
      <c r="Q99" s="38" t="b">
        <v>0</v>
      </c>
      <c r="R99" s="38" t="b">
        <v>0</v>
      </c>
      <c r="S99" s="38" t="b">
        <v>0</v>
      </c>
      <c r="T99" s="38" t="b">
        <v>0</v>
      </c>
      <c r="U99" s="38" t="b">
        <v>0</v>
      </c>
      <c r="V99" s="38" t="b">
        <v>0</v>
      </c>
      <c r="W99" s="38" t="b">
        <v>0</v>
      </c>
      <c r="X99" s="38" t="b">
        <v>0</v>
      </c>
      <c r="Y99" s="38" t="b">
        <v>0</v>
      </c>
      <c r="Z99" s="38" t="b">
        <v>0</v>
      </c>
      <c r="AA99" s="38" t="b">
        <v>0</v>
      </c>
      <c r="AB99" s="38" t="b">
        <v>0</v>
      </c>
      <c r="AC99" s="38" t="b">
        <v>0</v>
      </c>
      <c r="AD99" s="38" t="b">
        <v>0</v>
      </c>
      <c r="AE99" s="38" t="b">
        <v>0</v>
      </c>
      <c r="AF99" s="38" t="b">
        <v>0</v>
      </c>
      <c r="AG99" s="38" t="b">
        <v>0</v>
      </c>
      <c r="AH99" s="38" t="b">
        <v>0</v>
      </c>
      <c r="AI99" s="38" t="b">
        <v>0</v>
      </c>
      <c r="AJ99" s="38" t="b">
        <v>0</v>
      </c>
      <c r="AK99" s="38" t="b">
        <v>0</v>
      </c>
      <c r="AL99" s="38" t="b">
        <v>0</v>
      </c>
      <c r="AM99" s="38" t="b">
        <v>0</v>
      </c>
      <c r="AN99" s="38" t="b">
        <v>0</v>
      </c>
      <c r="AO99" s="25">
        <f t="shared" si="57"/>
        <v>0</v>
      </c>
      <c r="AQ99" s="25">
        <f>IFERROR(__xludf.DUMMYFUNCTION("if(iserror(match(true,J99:AN99,0)),0,len(index(split(substitute(substitute(join("","",J99:AN99)&amp;"","",""TRUE,"",""x""),""FALSE,"","",""),"",""),,counta(split(substitute(substitute(join("","",J99:AN99)&amp;"","",""TRUE,"",""x""),""FALSE,"","",""),"","")))))"),0.0)</f>
        <v>0</v>
      </c>
      <c r="AR99" s="25" t="str">
        <f>IFERROR(__xludf.DUMMYFUNCTION("arrayformula( if( sum(J99:AN99 + 0), max( len( split( concatenate( left(J99:AN99) ), ""F"" ) ) ), ""0"" ) )"),"0")</f>
        <v>0</v>
      </c>
      <c r="AS99" s="26">
        <v>20.0</v>
      </c>
      <c r="AT99" s="27">
        <f t="shared" si="58"/>
        <v>0</v>
      </c>
    </row>
    <row r="100">
      <c r="A100" s="31">
        <f t="shared" si="60"/>
        <v>22</v>
      </c>
      <c r="B100" s="30">
        <f t="shared" si="61"/>
        <v>46167</v>
      </c>
      <c r="C100" s="30">
        <f t="shared" ref="C100:H100" si="64">B100+1</f>
        <v>46168</v>
      </c>
      <c r="D100" s="30">
        <f t="shared" si="64"/>
        <v>46169</v>
      </c>
      <c r="E100" s="30">
        <f t="shared" si="64"/>
        <v>46170</v>
      </c>
      <c r="F100" s="30">
        <f t="shared" si="64"/>
        <v>46171</v>
      </c>
      <c r="G100" s="30">
        <f t="shared" si="64"/>
        <v>46172</v>
      </c>
      <c r="H100" s="30">
        <f t="shared" si="64"/>
        <v>46173</v>
      </c>
      <c r="I100" s="6" t="s">
        <v>20</v>
      </c>
      <c r="J100" s="24" t="b">
        <v>0</v>
      </c>
      <c r="K100" s="24" t="b">
        <v>0</v>
      </c>
      <c r="L100" s="38" t="b">
        <v>0</v>
      </c>
      <c r="M100" s="38" t="b">
        <v>0</v>
      </c>
      <c r="N100" s="24" t="b">
        <v>0</v>
      </c>
      <c r="O100" s="24" t="b">
        <v>0</v>
      </c>
      <c r="P100" s="24" t="b">
        <v>0</v>
      </c>
      <c r="Q100" s="38" t="b">
        <v>0</v>
      </c>
      <c r="R100" s="38" t="b">
        <v>0</v>
      </c>
      <c r="S100" s="38" t="b">
        <v>0</v>
      </c>
      <c r="T100" s="38" t="b">
        <v>0</v>
      </c>
      <c r="U100" s="38" t="b">
        <v>0</v>
      </c>
      <c r="V100" s="38" t="b">
        <v>0</v>
      </c>
      <c r="W100" s="38" t="b">
        <v>0</v>
      </c>
      <c r="X100" s="38" t="b">
        <v>0</v>
      </c>
      <c r="Y100" s="38" t="b">
        <v>0</v>
      </c>
      <c r="Z100" s="38" t="b">
        <v>0</v>
      </c>
      <c r="AA100" s="38" t="b">
        <v>0</v>
      </c>
      <c r="AB100" s="38" t="b">
        <v>0</v>
      </c>
      <c r="AC100" s="38" t="b">
        <v>0</v>
      </c>
      <c r="AD100" s="38" t="b">
        <v>0</v>
      </c>
      <c r="AE100" s="38" t="b">
        <v>0</v>
      </c>
      <c r="AF100" s="38" t="b">
        <v>0</v>
      </c>
      <c r="AG100" s="38" t="b">
        <v>0</v>
      </c>
      <c r="AH100" s="38" t="b">
        <v>0</v>
      </c>
      <c r="AI100" s="38" t="b">
        <v>0</v>
      </c>
      <c r="AJ100" s="38" t="b">
        <v>0</v>
      </c>
      <c r="AK100" s="38" t="b">
        <v>0</v>
      </c>
      <c r="AL100" s="38" t="b">
        <v>0</v>
      </c>
      <c r="AM100" s="38" t="b">
        <v>0</v>
      </c>
      <c r="AN100" s="38" t="b">
        <v>0</v>
      </c>
      <c r="AO100" s="25">
        <f t="shared" si="57"/>
        <v>0</v>
      </c>
      <c r="AQ100" s="25">
        <f>IFERROR(__xludf.DUMMYFUNCTION("if(iserror(match(true,J100:AN100,0)),0,len(index(split(substitute(substitute(join("","",J100:AN100)&amp;"","",""TRUE,"",""x""),""FALSE,"","",""),"",""),,counta(split(substitute(substitute(join("","",J100:AN100)&amp;"","",""TRUE,"",""x""),""FALSE,"","",""),"",""))"&amp;")))"),0.0)</f>
        <v>0</v>
      </c>
      <c r="AR100" s="25" t="str">
        <f>IFERROR(__xludf.DUMMYFUNCTION("arrayformula( if( sum(J100:AN100 + 0), max( len( split( concatenate( left(J100:AN100) ), ""F"" ) ) ), ""0"" ) )"),"0")</f>
        <v>0</v>
      </c>
      <c r="AS100" s="26">
        <v>15.0</v>
      </c>
      <c r="AT100" s="27">
        <f t="shared" si="58"/>
        <v>0</v>
      </c>
    </row>
    <row r="101">
      <c r="A101" s="31">
        <f t="shared" si="60"/>
        <v>23</v>
      </c>
      <c r="B101" s="30">
        <f t="shared" si="61"/>
        <v>46174</v>
      </c>
      <c r="C101" s="30">
        <f t="shared" ref="C101:H101" si="65">B101+1</f>
        <v>46175</v>
      </c>
      <c r="D101" s="30">
        <f t="shared" si="65"/>
        <v>46176</v>
      </c>
      <c r="E101" s="30">
        <f t="shared" si="65"/>
        <v>46177</v>
      </c>
      <c r="F101" s="30">
        <f t="shared" si="65"/>
        <v>46178</v>
      </c>
      <c r="G101" s="30">
        <f t="shared" si="65"/>
        <v>46179</v>
      </c>
      <c r="H101" s="30">
        <f t="shared" si="65"/>
        <v>46180</v>
      </c>
      <c r="I101" s="6"/>
      <c r="J101" s="24" t="b">
        <v>0</v>
      </c>
      <c r="K101" s="24" t="b">
        <v>0</v>
      </c>
      <c r="L101" s="38" t="b">
        <v>0</v>
      </c>
      <c r="M101" s="38" t="b">
        <v>0</v>
      </c>
      <c r="N101" s="24" t="b">
        <v>0</v>
      </c>
      <c r="O101" s="24" t="b">
        <v>0</v>
      </c>
      <c r="P101" s="24" t="b">
        <v>0</v>
      </c>
      <c r="Q101" s="38" t="b">
        <v>0</v>
      </c>
      <c r="R101" s="38" t="b">
        <v>0</v>
      </c>
      <c r="S101" s="38" t="b">
        <v>0</v>
      </c>
      <c r="T101" s="38" t="b">
        <v>0</v>
      </c>
      <c r="U101" s="38" t="b">
        <v>0</v>
      </c>
      <c r="V101" s="38" t="b">
        <v>0</v>
      </c>
      <c r="W101" s="38" t="b">
        <v>0</v>
      </c>
      <c r="X101" s="38" t="b">
        <v>0</v>
      </c>
      <c r="Y101" s="38" t="b">
        <v>0</v>
      </c>
      <c r="Z101" s="38" t="b">
        <v>0</v>
      </c>
      <c r="AA101" s="38" t="b">
        <v>0</v>
      </c>
      <c r="AB101" s="38" t="b">
        <v>0</v>
      </c>
      <c r="AC101" s="38" t="b">
        <v>0</v>
      </c>
      <c r="AD101" s="38" t="b">
        <v>0</v>
      </c>
      <c r="AE101" s="38" t="b">
        <v>0</v>
      </c>
      <c r="AF101" s="38" t="b">
        <v>0</v>
      </c>
      <c r="AG101" s="38" t="b">
        <v>0</v>
      </c>
      <c r="AH101" s="38" t="b">
        <v>0</v>
      </c>
      <c r="AI101" s="38" t="b">
        <v>0</v>
      </c>
      <c r="AJ101" s="38" t="b">
        <v>0</v>
      </c>
      <c r="AK101" s="38" t="b">
        <v>0</v>
      </c>
      <c r="AL101" s="38" t="b">
        <v>0</v>
      </c>
      <c r="AM101" s="38" t="b">
        <v>0</v>
      </c>
      <c r="AN101" s="38" t="b">
        <v>0</v>
      </c>
      <c r="AO101" s="25">
        <f t="shared" si="57"/>
        <v>0</v>
      </c>
      <c r="AQ101" s="25">
        <f>IFERROR(__xludf.DUMMYFUNCTION("if(iserror(match(true,J101:AN101,0)),0,len(index(split(substitute(substitute(join("","",J101:AN101)&amp;"","",""TRUE,"",""x""),""FALSE,"","",""),"",""),,counta(split(substitute(substitute(join("","",J101:AN101)&amp;"","",""TRUE,"",""x""),""FALSE,"","",""),"",""))"&amp;")))"),0.0)</f>
        <v>0</v>
      </c>
      <c r="AR101" s="25" t="str">
        <f>IFERROR(__xludf.DUMMYFUNCTION("arrayformula( if( sum(J101:AN101 + 0), max( len( split( concatenate( left(J101:AN101) ), ""F"" ) ) ), ""0"" ) )"),"0")</f>
        <v>0</v>
      </c>
      <c r="AS101" s="26">
        <v>15.0</v>
      </c>
      <c r="AT101" s="27">
        <f t="shared" si="58"/>
        <v>0</v>
      </c>
    </row>
    <row r="102" hidden="1">
      <c r="A102" s="39"/>
      <c r="B102" s="40"/>
      <c r="C102" s="40"/>
      <c r="D102" s="40"/>
      <c r="E102" s="41"/>
      <c r="F102" s="41"/>
      <c r="G102" s="41"/>
      <c r="H102" s="41"/>
      <c r="I102" s="6"/>
      <c r="J102" s="24" t="b">
        <v>0</v>
      </c>
      <c r="K102" s="24" t="b">
        <v>0</v>
      </c>
      <c r="L102" s="38" t="b">
        <v>0</v>
      </c>
      <c r="M102" s="38" t="b">
        <v>0</v>
      </c>
      <c r="N102" s="24" t="b">
        <v>0</v>
      </c>
      <c r="O102" s="24" t="b">
        <v>0</v>
      </c>
      <c r="P102" s="24" t="b">
        <v>0</v>
      </c>
      <c r="Q102" s="38" t="b">
        <v>0</v>
      </c>
      <c r="R102" s="38" t="b">
        <v>0</v>
      </c>
      <c r="S102" s="38" t="b">
        <v>0</v>
      </c>
      <c r="T102" s="38" t="b">
        <v>0</v>
      </c>
      <c r="U102" s="38" t="b">
        <v>0</v>
      </c>
      <c r="V102" s="38" t="b">
        <v>0</v>
      </c>
      <c r="W102" s="38" t="b">
        <v>0</v>
      </c>
      <c r="X102" s="38" t="b">
        <v>0</v>
      </c>
      <c r="Y102" s="38" t="b">
        <v>0</v>
      </c>
      <c r="Z102" s="38" t="b">
        <v>0</v>
      </c>
      <c r="AA102" s="38" t="b">
        <v>0</v>
      </c>
      <c r="AB102" s="38" t="b">
        <v>0</v>
      </c>
      <c r="AC102" s="38" t="b">
        <v>0</v>
      </c>
      <c r="AD102" s="38" t="b">
        <v>0</v>
      </c>
      <c r="AE102" s="38" t="b">
        <v>0</v>
      </c>
      <c r="AF102" s="38" t="b">
        <v>0</v>
      </c>
      <c r="AG102" s="38" t="b">
        <v>0</v>
      </c>
      <c r="AH102" s="38" t="b">
        <v>0</v>
      </c>
      <c r="AI102" s="38" t="b">
        <v>0</v>
      </c>
      <c r="AJ102" s="38" t="b">
        <v>0</v>
      </c>
      <c r="AK102" s="38" t="b">
        <v>0</v>
      </c>
      <c r="AL102" s="38" t="b">
        <v>0</v>
      </c>
      <c r="AM102" s="38" t="b">
        <v>0</v>
      </c>
      <c r="AN102" s="38" t="b">
        <v>0</v>
      </c>
      <c r="AO102" s="25">
        <f t="shared" si="57"/>
        <v>0</v>
      </c>
      <c r="AQ102" s="25">
        <f>IFERROR(__xludf.DUMMYFUNCTION("if(iserror(match(true,J102:AN102,0)),0,len(index(split(substitute(substitute(join("","",J102:AN102)&amp;"","",""TRUE,"",""x""),""FALSE,"","",""),"",""),,counta(split(substitute(substitute(join("","",J102:AN102)&amp;"","",""TRUE,"",""x""),""FALSE,"","",""),"",""))"&amp;")))"),0.0)</f>
        <v>0</v>
      </c>
      <c r="AR102" s="25" t="str">
        <f>IFERROR(__xludf.DUMMYFUNCTION("arrayformula( if( sum(J102:AN102 + 0), max( len( split( concatenate( left(J102:AN102) ), ""F"" ) ) ), ""0"" ) )"),"0")</f>
        <v>0</v>
      </c>
      <c r="AS102" s="26">
        <v>15.0</v>
      </c>
      <c r="AT102" s="27">
        <f t="shared" si="58"/>
        <v>0</v>
      </c>
    </row>
    <row r="103" hidden="1">
      <c r="A103" s="39"/>
      <c r="B103" s="40"/>
      <c r="C103" s="40"/>
      <c r="D103" s="40"/>
      <c r="E103" s="41"/>
      <c r="F103" s="41"/>
      <c r="G103" s="41"/>
      <c r="H103" s="41"/>
      <c r="I103" s="6"/>
      <c r="J103" s="24" t="b">
        <v>0</v>
      </c>
      <c r="K103" s="24" t="b">
        <v>0</v>
      </c>
      <c r="L103" s="38" t="b">
        <v>0</v>
      </c>
      <c r="M103" s="38" t="b">
        <v>0</v>
      </c>
      <c r="N103" s="24" t="b">
        <v>0</v>
      </c>
      <c r="O103" s="24" t="b">
        <v>0</v>
      </c>
      <c r="P103" s="24" t="b">
        <v>0</v>
      </c>
      <c r="Q103" s="38" t="b">
        <v>0</v>
      </c>
      <c r="R103" s="38" t="b">
        <v>0</v>
      </c>
      <c r="S103" s="38" t="b">
        <v>0</v>
      </c>
      <c r="T103" s="38" t="b">
        <v>0</v>
      </c>
      <c r="U103" s="38" t="b">
        <v>0</v>
      </c>
      <c r="V103" s="38" t="b">
        <v>0</v>
      </c>
      <c r="W103" s="38" t="b">
        <v>0</v>
      </c>
      <c r="X103" s="38" t="b">
        <v>0</v>
      </c>
      <c r="Y103" s="38" t="b">
        <v>0</v>
      </c>
      <c r="Z103" s="38" t="b">
        <v>0</v>
      </c>
      <c r="AA103" s="38" t="b">
        <v>0</v>
      </c>
      <c r="AB103" s="38" t="b">
        <v>0</v>
      </c>
      <c r="AC103" s="38" t="b">
        <v>0</v>
      </c>
      <c r="AD103" s="38" t="b">
        <v>0</v>
      </c>
      <c r="AE103" s="38" t="b">
        <v>0</v>
      </c>
      <c r="AF103" s="38" t="b">
        <v>0</v>
      </c>
      <c r="AG103" s="38" t="b">
        <v>0</v>
      </c>
      <c r="AH103" s="38" t="b">
        <v>0</v>
      </c>
      <c r="AI103" s="38" t="b">
        <v>0</v>
      </c>
      <c r="AJ103" s="38" t="b">
        <v>0</v>
      </c>
      <c r="AK103" s="38" t="b">
        <v>0</v>
      </c>
      <c r="AL103" s="38" t="b">
        <v>0</v>
      </c>
      <c r="AM103" s="38" t="b">
        <v>0</v>
      </c>
      <c r="AN103" s="38" t="b">
        <v>0</v>
      </c>
      <c r="AO103" s="25">
        <f t="shared" si="57"/>
        <v>0</v>
      </c>
      <c r="AQ103" s="25">
        <f>IFERROR(__xludf.DUMMYFUNCTION("if(iserror(match(true,J103:AN103,0)),0,len(index(split(substitute(substitute(join("","",J103:AN103)&amp;"","",""TRUE,"",""x""),""FALSE,"","",""),"",""),,counta(split(substitute(substitute(join("","",J103:AN103)&amp;"","",""TRUE,"",""x""),""FALSE,"","",""),"",""))"&amp;")))"),0.0)</f>
        <v>0</v>
      </c>
      <c r="AR103" s="25" t="str">
        <f>IFERROR(__xludf.DUMMYFUNCTION("arrayformula( if( sum(J103:AN103 + 0), max( len( split( concatenate( left(J103:AN103) ), ""F"" ) ) ), ""0"" ) )"),"0")</f>
        <v>0</v>
      </c>
      <c r="AS103" s="26">
        <v>15.0</v>
      </c>
      <c r="AT103" s="27">
        <f t="shared" si="58"/>
        <v>0</v>
      </c>
    </row>
    <row r="104" hidden="1">
      <c r="A104" s="39"/>
      <c r="B104" s="40"/>
      <c r="C104" s="40"/>
      <c r="D104" s="40"/>
      <c r="E104" s="41"/>
      <c r="F104" s="41"/>
      <c r="G104" s="41"/>
      <c r="H104" s="41"/>
      <c r="I104" s="6"/>
      <c r="J104" s="24" t="b">
        <v>0</v>
      </c>
      <c r="K104" s="24" t="b">
        <v>0</v>
      </c>
      <c r="L104" s="38" t="b">
        <v>0</v>
      </c>
      <c r="M104" s="38" t="b">
        <v>0</v>
      </c>
      <c r="N104" s="24" t="b">
        <v>0</v>
      </c>
      <c r="O104" s="24" t="b">
        <v>0</v>
      </c>
      <c r="P104" s="24" t="b">
        <v>0</v>
      </c>
      <c r="Q104" s="38" t="b">
        <v>0</v>
      </c>
      <c r="R104" s="38" t="b">
        <v>0</v>
      </c>
      <c r="S104" s="38" t="b">
        <v>0</v>
      </c>
      <c r="T104" s="38" t="b">
        <v>0</v>
      </c>
      <c r="U104" s="38" t="b">
        <v>0</v>
      </c>
      <c r="V104" s="38" t="b">
        <v>0</v>
      </c>
      <c r="W104" s="38" t="b">
        <v>0</v>
      </c>
      <c r="X104" s="38" t="b">
        <v>0</v>
      </c>
      <c r="Y104" s="38" t="b">
        <v>0</v>
      </c>
      <c r="Z104" s="38" t="b">
        <v>0</v>
      </c>
      <c r="AA104" s="38" t="b">
        <v>0</v>
      </c>
      <c r="AB104" s="38" t="b">
        <v>0</v>
      </c>
      <c r="AC104" s="38" t="b">
        <v>0</v>
      </c>
      <c r="AD104" s="38" t="b">
        <v>0</v>
      </c>
      <c r="AE104" s="38" t="b">
        <v>0</v>
      </c>
      <c r="AF104" s="38" t="b">
        <v>0</v>
      </c>
      <c r="AG104" s="38" t="b">
        <v>0</v>
      </c>
      <c r="AH104" s="38" t="b">
        <v>0</v>
      </c>
      <c r="AI104" s="38" t="b">
        <v>0</v>
      </c>
      <c r="AJ104" s="38" t="b">
        <v>0</v>
      </c>
      <c r="AK104" s="38" t="b">
        <v>0</v>
      </c>
      <c r="AL104" s="38" t="b">
        <v>0</v>
      </c>
      <c r="AM104" s="38" t="b">
        <v>0</v>
      </c>
      <c r="AN104" s="38" t="b">
        <v>0</v>
      </c>
      <c r="AO104" s="25">
        <f t="shared" si="57"/>
        <v>0</v>
      </c>
      <c r="AQ104" s="25">
        <f>IFERROR(__xludf.DUMMYFUNCTION("if(iserror(match(true,J104:AN104,0)),0,len(index(split(substitute(substitute(join("","",J104:AN104)&amp;"","",""TRUE,"",""x""),""FALSE,"","",""),"",""),,counta(split(substitute(substitute(join("","",J104:AN104)&amp;"","",""TRUE,"",""x""),""FALSE,"","",""),"",""))"&amp;")))"),0.0)</f>
        <v>0</v>
      </c>
      <c r="AR104" s="25" t="str">
        <f>IFERROR(__xludf.DUMMYFUNCTION("arrayformula( if( sum(J104:AN104 + 0), max( len( split( concatenate( left(J104:AN104) ), ""F"" ) ) ), ""0"" ) )"),"0")</f>
        <v>0</v>
      </c>
      <c r="AS104" s="26">
        <v>15.0</v>
      </c>
      <c r="AT104" s="27">
        <f t="shared" si="58"/>
        <v>0</v>
      </c>
    </row>
    <row r="105" hidden="1">
      <c r="A105" s="39"/>
      <c r="B105" s="40"/>
      <c r="C105" s="40"/>
      <c r="D105" s="40"/>
      <c r="E105" s="41"/>
      <c r="F105" s="41"/>
      <c r="G105" s="41"/>
      <c r="H105" s="41"/>
      <c r="I105" s="6"/>
      <c r="J105" s="24" t="b">
        <v>0</v>
      </c>
      <c r="K105" s="24" t="b">
        <v>0</v>
      </c>
      <c r="L105" s="38" t="b">
        <v>0</v>
      </c>
      <c r="M105" s="38" t="b">
        <v>0</v>
      </c>
      <c r="N105" s="24" t="b">
        <v>0</v>
      </c>
      <c r="O105" s="24" t="b">
        <v>0</v>
      </c>
      <c r="P105" s="24" t="b">
        <v>0</v>
      </c>
      <c r="Q105" s="38" t="b">
        <v>0</v>
      </c>
      <c r="R105" s="38" t="b">
        <v>0</v>
      </c>
      <c r="S105" s="38" t="b">
        <v>0</v>
      </c>
      <c r="T105" s="38" t="b">
        <v>0</v>
      </c>
      <c r="U105" s="38" t="b">
        <v>0</v>
      </c>
      <c r="V105" s="38" t="b">
        <v>0</v>
      </c>
      <c r="W105" s="38" t="b">
        <v>0</v>
      </c>
      <c r="X105" s="38" t="b">
        <v>0</v>
      </c>
      <c r="Y105" s="38" t="b">
        <v>0</v>
      </c>
      <c r="Z105" s="38" t="b">
        <v>0</v>
      </c>
      <c r="AA105" s="38" t="b">
        <v>0</v>
      </c>
      <c r="AB105" s="38" t="b">
        <v>0</v>
      </c>
      <c r="AC105" s="38" t="b">
        <v>0</v>
      </c>
      <c r="AD105" s="38" t="b">
        <v>0</v>
      </c>
      <c r="AE105" s="38" t="b">
        <v>0</v>
      </c>
      <c r="AF105" s="38" t="b">
        <v>0</v>
      </c>
      <c r="AG105" s="38" t="b">
        <v>0</v>
      </c>
      <c r="AH105" s="38" t="b">
        <v>0</v>
      </c>
      <c r="AI105" s="38" t="b">
        <v>0</v>
      </c>
      <c r="AJ105" s="38" t="b">
        <v>0</v>
      </c>
      <c r="AK105" s="38" t="b">
        <v>0</v>
      </c>
      <c r="AL105" s="38" t="b">
        <v>0</v>
      </c>
      <c r="AM105" s="38" t="b">
        <v>0</v>
      </c>
      <c r="AN105" s="38" t="b">
        <v>0</v>
      </c>
      <c r="AO105" s="25">
        <f t="shared" si="57"/>
        <v>0</v>
      </c>
      <c r="AQ105" s="25">
        <f>IFERROR(__xludf.DUMMYFUNCTION("if(iserror(match(true,J105:AN105,0)),0,len(index(split(substitute(substitute(join("","",J105:AN105)&amp;"","",""TRUE,"",""x""),""FALSE,"","",""),"",""),,counta(split(substitute(substitute(join("","",J105:AN105)&amp;"","",""TRUE,"",""x""),""FALSE,"","",""),"",""))"&amp;")))"),0.0)</f>
        <v>0</v>
      </c>
      <c r="AR105" s="25" t="str">
        <f>IFERROR(__xludf.DUMMYFUNCTION("arrayformula( if( sum(J105:AN105 + 0), max( len( split( concatenate( left(J105:AN105) ), ""F"" ) ) ), ""0"" ) )"),"0")</f>
        <v>0</v>
      </c>
      <c r="AS105" s="26">
        <v>15.0</v>
      </c>
      <c r="AT105" s="27">
        <f t="shared" si="58"/>
        <v>0</v>
      </c>
    </row>
    <row r="106" hidden="1">
      <c r="A106" s="39"/>
      <c r="B106" s="40"/>
      <c r="C106" s="40"/>
      <c r="D106" s="40"/>
      <c r="E106" s="41"/>
      <c r="F106" s="41"/>
      <c r="G106" s="41"/>
      <c r="H106" s="41"/>
      <c r="I106" s="6"/>
      <c r="J106" s="24" t="b">
        <v>0</v>
      </c>
      <c r="K106" s="24" t="b">
        <v>0</v>
      </c>
      <c r="L106" s="38" t="b">
        <v>0</v>
      </c>
      <c r="M106" s="38" t="b">
        <v>0</v>
      </c>
      <c r="N106" s="24" t="b">
        <v>0</v>
      </c>
      <c r="O106" s="24" t="b">
        <v>0</v>
      </c>
      <c r="P106" s="24" t="b">
        <v>0</v>
      </c>
      <c r="Q106" s="38" t="b">
        <v>0</v>
      </c>
      <c r="R106" s="38" t="b">
        <v>0</v>
      </c>
      <c r="S106" s="38" t="b">
        <v>0</v>
      </c>
      <c r="T106" s="38" t="b">
        <v>0</v>
      </c>
      <c r="U106" s="38" t="b">
        <v>0</v>
      </c>
      <c r="V106" s="38" t="b">
        <v>0</v>
      </c>
      <c r="W106" s="38" t="b">
        <v>0</v>
      </c>
      <c r="X106" s="38" t="b">
        <v>0</v>
      </c>
      <c r="Y106" s="38" t="b">
        <v>0</v>
      </c>
      <c r="Z106" s="38" t="b">
        <v>0</v>
      </c>
      <c r="AA106" s="38" t="b">
        <v>0</v>
      </c>
      <c r="AB106" s="38" t="b">
        <v>0</v>
      </c>
      <c r="AC106" s="38" t="b">
        <v>0</v>
      </c>
      <c r="AD106" s="38" t="b">
        <v>0</v>
      </c>
      <c r="AE106" s="38" t="b">
        <v>0</v>
      </c>
      <c r="AF106" s="38" t="b">
        <v>0</v>
      </c>
      <c r="AG106" s="38" t="b">
        <v>0</v>
      </c>
      <c r="AH106" s="38" t="b">
        <v>0</v>
      </c>
      <c r="AI106" s="38" t="b">
        <v>0</v>
      </c>
      <c r="AJ106" s="38" t="b">
        <v>0</v>
      </c>
      <c r="AK106" s="38" t="b">
        <v>0</v>
      </c>
      <c r="AL106" s="38" t="b">
        <v>0</v>
      </c>
      <c r="AM106" s="38" t="b">
        <v>0</v>
      </c>
      <c r="AN106" s="38" t="b">
        <v>0</v>
      </c>
      <c r="AO106" s="25">
        <f t="shared" si="57"/>
        <v>0</v>
      </c>
      <c r="AQ106" s="25">
        <f>IFERROR(__xludf.DUMMYFUNCTION("if(iserror(match(true,J106:AN106,0)),0,len(index(split(substitute(substitute(join("","",J106:AN106)&amp;"","",""TRUE,"",""x""),""FALSE,"","",""),"",""),,counta(split(substitute(substitute(join("","",J106:AN106)&amp;"","",""TRUE,"",""x""),""FALSE,"","",""),"",""))"&amp;")))"),0.0)</f>
        <v>0</v>
      </c>
      <c r="AR106" s="25" t="str">
        <f>IFERROR(__xludf.DUMMYFUNCTION("arrayformula( if( sum(J106:AN106 + 0), max( len( split( concatenate( left(J106:AN106) ), ""F"" ) ) ), ""0"" ) )"),"0")</f>
        <v>0</v>
      </c>
      <c r="AS106" s="26">
        <v>15.0</v>
      </c>
      <c r="AT106" s="27">
        <f t="shared" si="58"/>
        <v>0</v>
      </c>
    </row>
    <row r="107" hidden="1">
      <c r="A107" s="39"/>
      <c r="B107" s="40"/>
      <c r="C107" s="40"/>
      <c r="D107" s="40"/>
      <c r="E107" s="41"/>
      <c r="F107" s="41"/>
      <c r="G107" s="41"/>
      <c r="H107" s="41"/>
      <c r="I107" s="6"/>
      <c r="J107" s="24" t="b">
        <v>0</v>
      </c>
      <c r="K107" s="24" t="b">
        <v>0</v>
      </c>
      <c r="L107" s="38" t="b">
        <v>0</v>
      </c>
      <c r="M107" s="38" t="b">
        <v>0</v>
      </c>
      <c r="N107" s="24" t="b">
        <v>0</v>
      </c>
      <c r="O107" s="24" t="b">
        <v>0</v>
      </c>
      <c r="P107" s="24" t="b">
        <v>0</v>
      </c>
      <c r="Q107" s="38" t="b">
        <v>0</v>
      </c>
      <c r="R107" s="38" t="b">
        <v>0</v>
      </c>
      <c r="S107" s="38" t="b">
        <v>0</v>
      </c>
      <c r="T107" s="38" t="b">
        <v>0</v>
      </c>
      <c r="U107" s="38" t="b">
        <v>0</v>
      </c>
      <c r="V107" s="38" t="b">
        <v>0</v>
      </c>
      <c r="W107" s="38" t="b">
        <v>0</v>
      </c>
      <c r="X107" s="38" t="b">
        <v>0</v>
      </c>
      <c r="Y107" s="38" t="b">
        <v>0</v>
      </c>
      <c r="Z107" s="38" t="b">
        <v>0</v>
      </c>
      <c r="AA107" s="38" t="b">
        <v>0</v>
      </c>
      <c r="AB107" s="38" t="b">
        <v>0</v>
      </c>
      <c r="AC107" s="38" t="b">
        <v>0</v>
      </c>
      <c r="AD107" s="38" t="b">
        <v>0</v>
      </c>
      <c r="AE107" s="38" t="b">
        <v>0</v>
      </c>
      <c r="AF107" s="38" t="b">
        <v>0</v>
      </c>
      <c r="AG107" s="38" t="b">
        <v>0</v>
      </c>
      <c r="AH107" s="38" t="b">
        <v>0</v>
      </c>
      <c r="AI107" s="38" t="b">
        <v>0</v>
      </c>
      <c r="AJ107" s="38" t="b">
        <v>0</v>
      </c>
      <c r="AK107" s="38" t="b">
        <v>0</v>
      </c>
      <c r="AL107" s="38" t="b">
        <v>0</v>
      </c>
      <c r="AM107" s="38" t="b">
        <v>0</v>
      </c>
      <c r="AN107" s="38" t="b">
        <v>0</v>
      </c>
      <c r="AO107" s="25">
        <f t="shared" si="57"/>
        <v>0</v>
      </c>
      <c r="AQ107" s="25">
        <f>IFERROR(__xludf.DUMMYFUNCTION("if(iserror(match(true,J107:AN107,0)),0,len(index(split(substitute(substitute(join("","",J107:AN107)&amp;"","",""TRUE,"",""x""),""FALSE,"","",""),"",""),,counta(split(substitute(substitute(join("","",J107:AN107)&amp;"","",""TRUE,"",""x""),""FALSE,"","",""),"",""))"&amp;")))"),0.0)</f>
        <v>0</v>
      </c>
      <c r="AR107" s="25" t="str">
        <f>IFERROR(__xludf.DUMMYFUNCTION("arrayformula( if( sum(J107:AN107 + 0), max( len( split( concatenate( left(J107:AN107) ), ""F"" ) ) ), ""0"" ) )"),"0")</f>
        <v>0</v>
      </c>
      <c r="AS107" s="26">
        <v>15.0</v>
      </c>
      <c r="AT107" s="27">
        <f t="shared" si="58"/>
        <v>0</v>
      </c>
    </row>
    <row r="108" hidden="1">
      <c r="A108" s="39"/>
      <c r="B108" s="40"/>
      <c r="C108" s="40"/>
      <c r="D108" s="40"/>
      <c r="E108" s="41"/>
      <c r="F108" s="41"/>
      <c r="G108" s="41"/>
      <c r="H108" s="41"/>
      <c r="I108" s="6"/>
      <c r="J108" s="24" t="b">
        <v>0</v>
      </c>
      <c r="K108" s="24" t="b">
        <v>0</v>
      </c>
      <c r="L108" s="38" t="b">
        <v>0</v>
      </c>
      <c r="M108" s="38" t="b">
        <v>0</v>
      </c>
      <c r="N108" s="24" t="b">
        <v>0</v>
      </c>
      <c r="O108" s="24" t="b">
        <v>0</v>
      </c>
      <c r="P108" s="24" t="b">
        <v>0</v>
      </c>
      <c r="Q108" s="38" t="b">
        <v>0</v>
      </c>
      <c r="R108" s="38" t="b">
        <v>0</v>
      </c>
      <c r="S108" s="38" t="b">
        <v>0</v>
      </c>
      <c r="T108" s="38" t="b">
        <v>0</v>
      </c>
      <c r="U108" s="38" t="b">
        <v>0</v>
      </c>
      <c r="V108" s="38" t="b">
        <v>0</v>
      </c>
      <c r="W108" s="38" t="b">
        <v>0</v>
      </c>
      <c r="X108" s="38" t="b">
        <v>0</v>
      </c>
      <c r="Y108" s="38" t="b">
        <v>0</v>
      </c>
      <c r="Z108" s="38" t="b">
        <v>0</v>
      </c>
      <c r="AA108" s="38" t="b">
        <v>0</v>
      </c>
      <c r="AB108" s="38" t="b">
        <v>0</v>
      </c>
      <c r="AC108" s="38" t="b">
        <v>0</v>
      </c>
      <c r="AD108" s="38" t="b">
        <v>0</v>
      </c>
      <c r="AE108" s="38" t="b">
        <v>0</v>
      </c>
      <c r="AF108" s="38" t="b">
        <v>0</v>
      </c>
      <c r="AG108" s="38" t="b">
        <v>0</v>
      </c>
      <c r="AH108" s="38" t="b">
        <v>0</v>
      </c>
      <c r="AI108" s="38" t="b">
        <v>0</v>
      </c>
      <c r="AJ108" s="38" t="b">
        <v>0</v>
      </c>
      <c r="AK108" s="38" t="b">
        <v>0</v>
      </c>
      <c r="AL108" s="38" t="b">
        <v>0</v>
      </c>
      <c r="AM108" s="38" t="b">
        <v>0</v>
      </c>
      <c r="AN108" s="38" t="b">
        <v>0</v>
      </c>
      <c r="AO108" s="25">
        <f t="shared" si="57"/>
        <v>0</v>
      </c>
      <c r="AQ108" s="25">
        <f>IFERROR(__xludf.DUMMYFUNCTION("if(iserror(match(true,J108:AN108,0)),0,len(index(split(substitute(substitute(join("","",J108:AN108)&amp;"","",""TRUE,"",""x""),""FALSE,"","",""),"",""),,counta(split(substitute(substitute(join("","",J108:AN108)&amp;"","",""TRUE,"",""x""),""FALSE,"","",""),"",""))"&amp;")))"),0.0)</f>
        <v>0</v>
      </c>
      <c r="AR108" s="25" t="str">
        <f>IFERROR(__xludf.DUMMYFUNCTION("arrayformula( if( sum(J108:AN108 + 0), max( len( split( concatenate( left(J108:AN108) ), ""F"" ) ) ), ""0"" ) )"),"0")</f>
        <v>0</v>
      </c>
      <c r="AS108" s="26">
        <v>15.0</v>
      </c>
      <c r="AT108" s="27">
        <f t="shared" si="58"/>
        <v>0</v>
      </c>
    </row>
    <row r="109" hidden="1">
      <c r="A109" s="39"/>
      <c r="B109" s="40"/>
      <c r="C109" s="40"/>
      <c r="D109" s="40"/>
      <c r="E109" s="41"/>
      <c r="F109" s="41"/>
      <c r="G109" s="41"/>
      <c r="H109" s="41"/>
      <c r="I109" s="6"/>
      <c r="J109" s="24" t="b">
        <v>0</v>
      </c>
      <c r="K109" s="24" t="b">
        <v>0</v>
      </c>
      <c r="L109" s="38" t="b">
        <v>0</v>
      </c>
      <c r="M109" s="38" t="b">
        <v>0</v>
      </c>
      <c r="N109" s="24" t="b">
        <v>0</v>
      </c>
      <c r="O109" s="24" t="b">
        <v>0</v>
      </c>
      <c r="P109" s="24" t="b">
        <v>0</v>
      </c>
      <c r="Q109" s="38" t="b">
        <v>0</v>
      </c>
      <c r="R109" s="38" t="b">
        <v>0</v>
      </c>
      <c r="S109" s="38" t="b">
        <v>0</v>
      </c>
      <c r="T109" s="38" t="b">
        <v>0</v>
      </c>
      <c r="U109" s="38" t="b">
        <v>0</v>
      </c>
      <c r="V109" s="38" t="b">
        <v>0</v>
      </c>
      <c r="W109" s="38" t="b">
        <v>0</v>
      </c>
      <c r="X109" s="38" t="b">
        <v>0</v>
      </c>
      <c r="Y109" s="38" t="b">
        <v>0</v>
      </c>
      <c r="Z109" s="38" t="b">
        <v>0</v>
      </c>
      <c r="AA109" s="38" t="b">
        <v>0</v>
      </c>
      <c r="AB109" s="38" t="b">
        <v>0</v>
      </c>
      <c r="AC109" s="38" t="b">
        <v>0</v>
      </c>
      <c r="AD109" s="38" t="b">
        <v>0</v>
      </c>
      <c r="AE109" s="38" t="b">
        <v>0</v>
      </c>
      <c r="AF109" s="38" t="b">
        <v>0</v>
      </c>
      <c r="AG109" s="38" t="b">
        <v>0</v>
      </c>
      <c r="AH109" s="38" t="b">
        <v>0</v>
      </c>
      <c r="AI109" s="38" t="b">
        <v>0</v>
      </c>
      <c r="AJ109" s="38" t="b">
        <v>0</v>
      </c>
      <c r="AK109" s="38" t="b">
        <v>0</v>
      </c>
      <c r="AL109" s="38" t="b">
        <v>0</v>
      </c>
      <c r="AM109" s="38" t="b">
        <v>0</v>
      </c>
      <c r="AN109" s="38" t="b">
        <v>0</v>
      </c>
      <c r="AO109" s="25">
        <f t="shared" si="57"/>
        <v>0</v>
      </c>
      <c r="AQ109" s="25">
        <f>IFERROR(__xludf.DUMMYFUNCTION("if(iserror(match(true,J109:AN109,0)),0,len(index(split(substitute(substitute(join("","",J109:AN109)&amp;"","",""TRUE,"",""x""),""FALSE,"","",""),"",""),,counta(split(substitute(substitute(join("","",J109:AN109)&amp;"","",""TRUE,"",""x""),""FALSE,"","",""),"",""))"&amp;")))"),0.0)</f>
        <v>0</v>
      </c>
      <c r="AR109" s="25" t="str">
        <f>IFERROR(__xludf.DUMMYFUNCTION("arrayformula( if( sum(J109:AN109 + 0), max( len( split( concatenate( left(J109:AN109) ), ""F"" ) ) ), ""0"" ) )"),"0")</f>
        <v>0</v>
      </c>
      <c r="AS109" s="26">
        <v>15.0</v>
      </c>
      <c r="AT109" s="27">
        <f t="shared" si="58"/>
        <v>0</v>
      </c>
    </row>
    <row r="110" hidden="1">
      <c r="A110" s="39"/>
      <c r="B110" s="40"/>
      <c r="C110" s="40"/>
      <c r="D110" s="40"/>
      <c r="E110" s="41"/>
      <c r="F110" s="41"/>
      <c r="G110" s="41"/>
      <c r="H110" s="41"/>
      <c r="I110" s="6"/>
      <c r="J110" s="24" t="b">
        <v>0</v>
      </c>
      <c r="K110" s="24" t="b">
        <v>0</v>
      </c>
      <c r="L110" s="38" t="b">
        <v>0</v>
      </c>
      <c r="M110" s="38" t="b">
        <v>0</v>
      </c>
      <c r="N110" s="24" t="b">
        <v>0</v>
      </c>
      <c r="O110" s="24" t="b">
        <v>0</v>
      </c>
      <c r="P110" s="24" t="b">
        <v>0</v>
      </c>
      <c r="Q110" s="38" t="b">
        <v>0</v>
      </c>
      <c r="R110" s="38" t="b">
        <v>0</v>
      </c>
      <c r="S110" s="38" t="b">
        <v>0</v>
      </c>
      <c r="T110" s="38" t="b">
        <v>0</v>
      </c>
      <c r="U110" s="38" t="b">
        <v>0</v>
      </c>
      <c r="V110" s="38" t="b">
        <v>0</v>
      </c>
      <c r="W110" s="38" t="b">
        <v>0</v>
      </c>
      <c r="X110" s="38" t="b">
        <v>0</v>
      </c>
      <c r="Y110" s="38" t="b">
        <v>0</v>
      </c>
      <c r="Z110" s="38" t="b">
        <v>0</v>
      </c>
      <c r="AA110" s="38" t="b">
        <v>0</v>
      </c>
      <c r="AB110" s="38" t="b">
        <v>0</v>
      </c>
      <c r="AC110" s="38" t="b">
        <v>0</v>
      </c>
      <c r="AD110" s="38" t="b">
        <v>0</v>
      </c>
      <c r="AE110" s="38" t="b">
        <v>0</v>
      </c>
      <c r="AF110" s="38" t="b">
        <v>0</v>
      </c>
      <c r="AG110" s="38" t="b">
        <v>0</v>
      </c>
      <c r="AH110" s="38" t="b">
        <v>0</v>
      </c>
      <c r="AI110" s="38" t="b">
        <v>0</v>
      </c>
      <c r="AJ110" s="38" t="b">
        <v>0</v>
      </c>
      <c r="AK110" s="38" t="b">
        <v>0</v>
      </c>
      <c r="AL110" s="38" t="b">
        <v>0</v>
      </c>
      <c r="AM110" s="38" t="b">
        <v>0</v>
      </c>
      <c r="AN110" s="38" t="b">
        <v>0</v>
      </c>
      <c r="AO110" s="25">
        <f t="shared" si="57"/>
        <v>0</v>
      </c>
      <c r="AQ110" s="25">
        <f>IFERROR(__xludf.DUMMYFUNCTION("if(iserror(match(true,J110:AN110,0)),0,len(index(split(substitute(substitute(join("","",J110:AN110)&amp;"","",""TRUE,"",""x""),""FALSE,"","",""),"",""),,counta(split(substitute(substitute(join("","",J110:AN110)&amp;"","",""TRUE,"",""x""),""FALSE,"","",""),"",""))"&amp;")))"),0.0)</f>
        <v>0</v>
      </c>
      <c r="AR110" s="25" t="str">
        <f>IFERROR(__xludf.DUMMYFUNCTION("arrayformula( if( sum(J110:AN110 + 0), max( len( split( concatenate( left(J110:AN110) ), ""F"" ) ) ), ""0"" ) )"),"0")</f>
        <v>0</v>
      </c>
      <c r="AS110" s="26">
        <v>15.0</v>
      </c>
      <c r="AT110" s="27">
        <f t="shared" si="58"/>
        <v>0</v>
      </c>
    </row>
    <row r="111" hidden="1">
      <c r="A111" s="39"/>
      <c r="B111" s="40"/>
      <c r="C111" s="40"/>
      <c r="D111" s="40"/>
      <c r="E111" s="41"/>
      <c r="F111" s="41"/>
      <c r="G111" s="41"/>
      <c r="H111" s="41"/>
      <c r="I111" s="6"/>
      <c r="J111" s="24" t="b">
        <v>0</v>
      </c>
      <c r="K111" s="24" t="b">
        <v>0</v>
      </c>
      <c r="L111" s="38" t="b">
        <v>0</v>
      </c>
      <c r="M111" s="38" t="b">
        <v>0</v>
      </c>
      <c r="N111" s="24" t="b">
        <v>0</v>
      </c>
      <c r="O111" s="24" t="b">
        <v>0</v>
      </c>
      <c r="P111" s="24" t="b">
        <v>0</v>
      </c>
      <c r="Q111" s="38" t="b">
        <v>0</v>
      </c>
      <c r="R111" s="38" t="b">
        <v>0</v>
      </c>
      <c r="S111" s="38" t="b">
        <v>0</v>
      </c>
      <c r="T111" s="38" t="b">
        <v>0</v>
      </c>
      <c r="U111" s="38" t="b">
        <v>0</v>
      </c>
      <c r="V111" s="38" t="b">
        <v>0</v>
      </c>
      <c r="W111" s="38" t="b">
        <v>0</v>
      </c>
      <c r="X111" s="38" t="b">
        <v>0</v>
      </c>
      <c r="Y111" s="38" t="b">
        <v>0</v>
      </c>
      <c r="Z111" s="38" t="b">
        <v>0</v>
      </c>
      <c r="AA111" s="38" t="b">
        <v>0</v>
      </c>
      <c r="AB111" s="38" t="b">
        <v>0</v>
      </c>
      <c r="AC111" s="38" t="b">
        <v>0</v>
      </c>
      <c r="AD111" s="38" t="b">
        <v>0</v>
      </c>
      <c r="AE111" s="38" t="b">
        <v>0</v>
      </c>
      <c r="AF111" s="38" t="b">
        <v>0</v>
      </c>
      <c r="AG111" s="38" t="b">
        <v>0</v>
      </c>
      <c r="AH111" s="38" t="b">
        <v>0</v>
      </c>
      <c r="AI111" s="38" t="b">
        <v>0</v>
      </c>
      <c r="AJ111" s="38" t="b">
        <v>0</v>
      </c>
      <c r="AK111" s="38" t="b">
        <v>0</v>
      </c>
      <c r="AL111" s="38" t="b">
        <v>0</v>
      </c>
      <c r="AM111" s="38" t="b">
        <v>0</v>
      </c>
      <c r="AN111" s="38" t="b">
        <v>0</v>
      </c>
      <c r="AO111" s="25">
        <f t="shared" si="57"/>
        <v>0</v>
      </c>
      <c r="AQ111" s="25">
        <f>IFERROR(__xludf.DUMMYFUNCTION("if(iserror(match(true,J111:AN111,0)),0,len(index(split(substitute(substitute(join("","",J111:AN111)&amp;"","",""TRUE,"",""x""),""FALSE,"","",""),"",""),,counta(split(substitute(substitute(join("","",J111:AN111)&amp;"","",""TRUE,"",""x""),""FALSE,"","",""),"",""))"&amp;")))"),0.0)</f>
        <v>0</v>
      </c>
      <c r="AR111" s="25" t="str">
        <f>IFERROR(__xludf.DUMMYFUNCTION("arrayformula( if( sum(J111:AN111 + 0), max( len( split( concatenate( left(J111:AN111) ), ""F"" ) ) ), ""0"" ) )"),"0")</f>
        <v>0</v>
      </c>
      <c r="AS111" s="26">
        <v>15.0</v>
      </c>
      <c r="AT111" s="27">
        <f t="shared" si="58"/>
        <v>0</v>
      </c>
    </row>
    <row r="112" hidden="1">
      <c r="A112" s="39"/>
      <c r="B112" s="40"/>
      <c r="C112" s="40"/>
      <c r="D112" s="40"/>
      <c r="E112" s="41"/>
      <c r="F112" s="41"/>
      <c r="G112" s="41"/>
      <c r="H112" s="41"/>
      <c r="I112" s="6"/>
      <c r="J112" s="24" t="b">
        <v>0</v>
      </c>
      <c r="K112" s="24" t="b">
        <v>0</v>
      </c>
      <c r="L112" s="38" t="b">
        <v>0</v>
      </c>
      <c r="M112" s="38" t="b">
        <v>0</v>
      </c>
      <c r="N112" s="24" t="b">
        <v>0</v>
      </c>
      <c r="O112" s="24" t="b">
        <v>0</v>
      </c>
      <c r="P112" s="24" t="b">
        <v>0</v>
      </c>
      <c r="Q112" s="38" t="b">
        <v>0</v>
      </c>
      <c r="R112" s="38" t="b">
        <v>0</v>
      </c>
      <c r="S112" s="38" t="b">
        <v>0</v>
      </c>
      <c r="T112" s="38" t="b">
        <v>0</v>
      </c>
      <c r="U112" s="38" t="b">
        <v>0</v>
      </c>
      <c r="V112" s="38" t="b">
        <v>0</v>
      </c>
      <c r="W112" s="38" t="b">
        <v>0</v>
      </c>
      <c r="X112" s="38" t="b">
        <v>0</v>
      </c>
      <c r="Y112" s="38" t="b">
        <v>0</v>
      </c>
      <c r="Z112" s="38" t="b">
        <v>0</v>
      </c>
      <c r="AA112" s="38" t="b">
        <v>0</v>
      </c>
      <c r="AB112" s="38" t="b">
        <v>0</v>
      </c>
      <c r="AC112" s="38" t="b">
        <v>0</v>
      </c>
      <c r="AD112" s="38" t="b">
        <v>0</v>
      </c>
      <c r="AE112" s="38" t="b">
        <v>0</v>
      </c>
      <c r="AF112" s="38" t="b">
        <v>0</v>
      </c>
      <c r="AG112" s="38" t="b">
        <v>0</v>
      </c>
      <c r="AH112" s="38" t="b">
        <v>0</v>
      </c>
      <c r="AI112" s="38" t="b">
        <v>0</v>
      </c>
      <c r="AJ112" s="38" t="b">
        <v>0</v>
      </c>
      <c r="AK112" s="38" t="b">
        <v>0</v>
      </c>
      <c r="AL112" s="38" t="b">
        <v>0</v>
      </c>
      <c r="AM112" s="38" t="b">
        <v>0</v>
      </c>
      <c r="AN112" s="38" t="b">
        <v>0</v>
      </c>
      <c r="AO112" s="25">
        <f t="shared" si="57"/>
        <v>0</v>
      </c>
      <c r="AQ112" s="25">
        <f>IFERROR(__xludf.DUMMYFUNCTION("if(iserror(match(true,J112:AN112,0)),0,len(index(split(substitute(substitute(join("","",J112:AN112)&amp;"","",""TRUE,"",""x""),""FALSE,"","",""),"",""),,counta(split(substitute(substitute(join("","",J112:AN112)&amp;"","",""TRUE,"",""x""),""FALSE,"","",""),"",""))"&amp;")))"),0.0)</f>
        <v>0</v>
      </c>
      <c r="AR112" s="25" t="str">
        <f>IFERROR(__xludf.DUMMYFUNCTION("arrayformula( if( sum(J112:AN112 + 0), max( len( split( concatenate( left(J112:AN112) ), ""F"" ) ) ), ""0"" ) )"),"0")</f>
        <v>0</v>
      </c>
      <c r="AS112" s="26">
        <v>15.0</v>
      </c>
      <c r="AT112" s="27">
        <f t="shared" si="58"/>
        <v>0</v>
      </c>
    </row>
    <row r="113" hidden="1">
      <c r="A113" s="39"/>
      <c r="B113" s="40"/>
      <c r="C113" s="40"/>
      <c r="D113" s="40"/>
      <c r="E113" s="41"/>
      <c r="F113" s="41"/>
      <c r="G113" s="41"/>
      <c r="H113" s="41"/>
      <c r="I113" s="6"/>
      <c r="J113" s="24" t="b">
        <v>0</v>
      </c>
      <c r="K113" s="24" t="b">
        <v>0</v>
      </c>
      <c r="L113" s="38" t="b">
        <v>0</v>
      </c>
      <c r="M113" s="38" t="b">
        <v>0</v>
      </c>
      <c r="N113" s="24" t="b">
        <v>0</v>
      </c>
      <c r="O113" s="24" t="b">
        <v>0</v>
      </c>
      <c r="P113" s="24" t="b">
        <v>0</v>
      </c>
      <c r="Q113" s="38" t="b">
        <v>0</v>
      </c>
      <c r="R113" s="38" t="b">
        <v>0</v>
      </c>
      <c r="S113" s="38" t="b">
        <v>0</v>
      </c>
      <c r="T113" s="38" t="b">
        <v>0</v>
      </c>
      <c r="U113" s="38" t="b">
        <v>0</v>
      </c>
      <c r="V113" s="38" t="b">
        <v>0</v>
      </c>
      <c r="W113" s="38" t="b">
        <v>0</v>
      </c>
      <c r="X113" s="38" t="b">
        <v>0</v>
      </c>
      <c r="Y113" s="38" t="b">
        <v>0</v>
      </c>
      <c r="Z113" s="38" t="b">
        <v>0</v>
      </c>
      <c r="AA113" s="38" t="b">
        <v>0</v>
      </c>
      <c r="AB113" s="38" t="b">
        <v>0</v>
      </c>
      <c r="AC113" s="38" t="b">
        <v>0</v>
      </c>
      <c r="AD113" s="38" t="b">
        <v>0</v>
      </c>
      <c r="AE113" s="38" t="b">
        <v>0</v>
      </c>
      <c r="AF113" s="38" t="b">
        <v>0</v>
      </c>
      <c r="AG113" s="38" t="b">
        <v>0</v>
      </c>
      <c r="AH113" s="38" t="b">
        <v>0</v>
      </c>
      <c r="AI113" s="38" t="b">
        <v>0</v>
      </c>
      <c r="AJ113" s="38" t="b">
        <v>0</v>
      </c>
      <c r="AK113" s="38" t="b">
        <v>0</v>
      </c>
      <c r="AL113" s="38" t="b">
        <v>0</v>
      </c>
      <c r="AM113" s="38" t="b">
        <v>0</v>
      </c>
      <c r="AN113" s="38" t="b">
        <v>0</v>
      </c>
      <c r="AO113" s="25">
        <f t="shared" si="57"/>
        <v>0</v>
      </c>
      <c r="AQ113" s="25">
        <f>IFERROR(__xludf.DUMMYFUNCTION("if(iserror(match(true,J113:AN113,0)),0,len(index(split(substitute(substitute(join("","",J113:AN113)&amp;"","",""TRUE,"",""x""),""FALSE,"","",""),"",""),,counta(split(substitute(substitute(join("","",J113:AN113)&amp;"","",""TRUE,"",""x""),""FALSE,"","",""),"",""))"&amp;")))"),0.0)</f>
        <v>0</v>
      </c>
      <c r="AR113" s="25" t="str">
        <f>IFERROR(__xludf.DUMMYFUNCTION("arrayformula( if( sum(J113:AN113 + 0), max( len( split( concatenate( left(J113:AN113) ), ""F"" ) ) ), ""0"" ) )"),"0")</f>
        <v>0</v>
      </c>
      <c r="AS113" s="26">
        <v>15.0</v>
      </c>
      <c r="AT113" s="27">
        <f t="shared" si="58"/>
        <v>0</v>
      </c>
    </row>
    <row r="114" hidden="1">
      <c r="A114" s="39"/>
      <c r="B114" s="40"/>
      <c r="C114" s="40"/>
      <c r="D114" s="40"/>
      <c r="E114" s="41"/>
      <c r="F114" s="41"/>
      <c r="G114" s="41"/>
      <c r="H114" s="41"/>
      <c r="I114" s="6"/>
      <c r="J114" s="24" t="b">
        <v>0</v>
      </c>
      <c r="K114" s="24" t="b">
        <v>0</v>
      </c>
      <c r="L114" s="38" t="b">
        <v>0</v>
      </c>
      <c r="M114" s="38" t="b">
        <v>0</v>
      </c>
      <c r="N114" s="24" t="b">
        <v>0</v>
      </c>
      <c r="O114" s="24" t="b">
        <v>0</v>
      </c>
      <c r="P114" s="24" t="b">
        <v>0</v>
      </c>
      <c r="Q114" s="38" t="b">
        <v>0</v>
      </c>
      <c r="R114" s="38" t="b">
        <v>0</v>
      </c>
      <c r="S114" s="38" t="b">
        <v>0</v>
      </c>
      <c r="T114" s="38" t="b">
        <v>0</v>
      </c>
      <c r="U114" s="38" t="b">
        <v>0</v>
      </c>
      <c r="V114" s="38" t="b">
        <v>0</v>
      </c>
      <c r="W114" s="38" t="b">
        <v>0</v>
      </c>
      <c r="X114" s="38" t="b">
        <v>0</v>
      </c>
      <c r="Y114" s="38" t="b">
        <v>0</v>
      </c>
      <c r="Z114" s="38" t="b">
        <v>0</v>
      </c>
      <c r="AA114" s="38" t="b">
        <v>0</v>
      </c>
      <c r="AB114" s="38" t="b">
        <v>0</v>
      </c>
      <c r="AC114" s="38" t="b">
        <v>0</v>
      </c>
      <c r="AD114" s="38" t="b">
        <v>0</v>
      </c>
      <c r="AE114" s="38" t="b">
        <v>0</v>
      </c>
      <c r="AF114" s="38" t="b">
        <v>0</v>
      </c>
      <c r="AG114" s="38" t="b">
        <v>0</v>
      </c>
      <c r="AH114" s="38" t="b">
        <v>0</v>
      </c>
      <c r="AI114" s="38" t="b">
        <v>0</v>
      </c>
      <c r="AJ114" s="38" t="b">
        <v>0</v>
      </c>
      <c r="AK114" s="38" t="b">
        <v>0</v>
      </c>
      <c r="AL114" s="38" t="b">
        <v>0</v>
      </c>
      <c r="AM114" s="38" t="b">
        <v>0</v>
      </c>
      <c r="AN114" s="38" t="b">
        <v>0</v>
      </c>
      <c r="AO114" s="25">
        <f t="shared" si="57"/>
        <v>0</v>
      </c>
      <c r="AQ114" s="25">
        <f>IFERROR(__xludf.DUMMYFUNCTION("if(iserror(match(true,J114:AN114,0)),0,len(index(split(substitute(substitute(join("","",J114:AN114)&amp;"","",""TRUE,"",""x""),""FALSE,"","",""),"",""),,counta(split(substitute(substitute(join("","",J114:AN114)&amp;"","",""TRUE,"",""x""),""FALSE,"","",""),"",""))"&amp;")))"),0.0)</f>
        <v>0</v>
      </c>
      <c r="AR114" s="25" t="str">
        <f>IFERROR(__xludf.DUMMYFUNCTION("arrayformula( if( sum(J114:AN114 + 0), max( len( split( concatenate( left(J114:AN114) ), ""F"" ) ) ), ""0"" ) )"),"0")</f>
        <v>0</v>
      </c>
      <c r="AS114" s="26">
        <v>15.0</v>
      </c>
      <c r="AT114" s="27">
        <f t="shared" si="58"/>
        <v>0</v>
      </c>
    </row>
    <row r="115">
      <c r="A115" s="47"/>
      <c r="B115" s="47"/>
      <c r="C115" s="47"/>
      <c r="D115" s="41"/>
      <c r="E115" s="41"/>
      <c r="F115" s="41"/>
      <c r="G115" s="41"/>
      <c r="H115" s="41"/>
      <c r="I115" s="45"/>
      <c r="J115" s="24" t="str">
        <f t="array" ref="J115">IF(COUNTIF(J95:J114, "TRUE") = 1, Setup!$E$4, 
IF(COUNTIF(J95:J114, "TRUE") = 0, Setup!$E$3,
IF(COUNTIF(J95:J114, "TRUE") = 2, Setup!$E$5, 
IF(COUNTIF(J95:J114, "TRUE") = 3, Setup!$E$6, 
IF(COUNTIF(J95:J114, "TRUE") = 4, Setup!$E$7, 
IF(COUNTIF(J95:J114, "TRUE") = 5, Setup!$E$8, 
IF(COUNTIF(J95:J114, "TRUE") &gt;= 6, Setup!$E$9)))
))))</f>
        <v/>
      </c>
      <c r="K115" s="24" t="str">
        <f t="array" ref="K115">IF(COUNTIF(K95:K114, "TRUE") = 1, Setup!$E$4, 
IF(COUNTIF(K95:K114, "TRUE") = 0, Setup!$E$3,
IF(COUNTIF(K95:K114, "TRUE") = 2, Setup!$E$5, 
IF(COUNTIF(K95:K114, "TRUE") = 3, Setup!$E$6, 
IF(COUNTIF(K95:K114, "TRUE") = 4, Setup!$E$7, 
IF(COUNTIF(K95:K114, "TRUE") = 5, Setup!$E$8, 
IF(COUNTIF(K95:K114, "TRUE") &gt;= 6, Setup!$E$9)))
))))</f>
        <v/>
      </c>
      <c r="L115" s="24" t="str">
        <f t="array" ref="L115">IF(COUNTIF(L95:L114, "TRUE") = 1, Setup!$E$4, 
IF(COUNTIF(L95:L114, "TRUE") = 0, Setup!$E$3,
IF(COUNTIF(L95:L114, "TRUE") = 2, Setup!$E$5, 
IF(COUNTIF(L95:L114, "TRUE") = 3, Setup!$E$6, 
IF(COUNTIF(L95:L114, "TRUE") = 4, Setup!$E$7, 
IF(COUNTIF(L95:L114, "TRUE") = 5, Setup!$E$8, 
IF(COUNTIF(L95:L114, "TRUE") &gt;= 6, Setup!$E$9)))
))))</f>
        <v/>
      </c>
      <c r="M115" s="24" t="str">
        <f t="array" ref="M115">IF(COUNTIF(M95:M114, "TRUE") = 1, Setup!$E$4, 
IF(COUNTIF(M95:M114, "TRUE") = 0, Setup!$E$3,
IF(COUNTIF(M95:M114, "TRUE") = 2, Setup!$E$5, 
IF(COUNTIF(M95:M114, "TRUE") = 3, Setup!$E$6, 
IF(COUNTIF(M95:M114, "TRUE") = 4, Setup!$E$7, 
IF(COUNTIF(M95:M114, "TRUE") = 5, Setup!$E$8, 
IF(COUNTIF(M95:M114, "TRUE") &gt;= 6, Setup!$E$9)))
))))</f>
        <v/>
      </c>
      <c r="N115" s="24" t="str">
        <f t="array" ref="N115">IF(COUNTIF(N95:N114, "TRUE") = 1, Setup!$E$4, 
IF(COUNTIF(N95:N114, "TRUE") = 0, Setup!$E$3,
IF(COUNTIF(N95:N114, "TRUE") = 2, Setup!$E$5, 
IF(COUNTIF(N95:N114, "TRUE") = 3, Setup!$E$6, 
IF(COUNTIF(N95:N114, "TRUE") = 4, Setup!$E$7, 
IF(COUNTIF(N95:N114, "TRUE") = 5, Setup!$E$8, 
IF(COUNTIF(N95:N114, "TRUE") &gt;= 6, Setup!$E$9)))
))))</f>
        <v/>
      </c>
      <c r="O115" s="24" t="str">
        <f t="array" ref="O115">IF(COUNTIF(O95:O114, "TRUE") = 1, Setup!$E$4, 
IF(COUNTIF(O95:O114, "TRUE") = 0, Setup!$E$3,
IF(COUNTIF(O95:O114, "TRUE") = 2, Setup!$E$5, 
IF(COUNTIF(O95:O114, "TRUE") = 3, Setup!$E$6, 
IF(COUNTIF(O95:O114, "TRUE") = 4, Setup!$E$7, 
IF(COUNTIF(O95:O114, "TRUE") = 5, Setup!$E$8, 
IF(COUNTIF(O95:O114, "TRUE") &gt;= 6, Setup!$E$9)))
))))</f>
        <v/>
      </c>
      <c r="P115" s="24" t="str">
        <f t="array" ref="P115">IF(COUNTIF(P95:P114, "TRUE") = 1, Setup!$E$4, 
IF(COUNTIF(P95:P114, "TRUE") = 0, Setup!$E$3,
IF(COUNTIF(P95:P114, "TRUE") = 2, Setup!$E$5, 
IF(COUNTIF(P95:P114, "TRUE") = 3, Setup!$E$6, 
IF(COUNTIF(P95:P114, "TRUE") = 4, Setup!$E$7, 
IF(COUNTIF(P95:P114, "TRUE") = 5, Setup!$E$8, 
IF(COUNTIF(P95:P114, "TRUE") &gt;= 6, Setup!$E$9)))
))))</f>
        <v/>
      </c>
      <c r="Q115" s="24" t="str">
        <f t="array" ref="Q115">IF(COUNTIF(Q95:Q114, "TRUE") = 1, Setup!$E$4, 
IF(COUNTIF(Q95:Q114, "TRUE") = 0, Setup!$E$3,
IF(COUNTIF(Q95:Q114, "TRUE") = 2, Setup!$E$5, 
IF(COUNTIF(Q95:Q114, "TRUE") = 3, Setup!$E$6, 
IF(COUNTIF(Q95:Q114, "TRUE") = 4, Setup!$E$7, 
IF(COUNTIF(Q95:Q114, "TRUE") = 5, Setup!$E$8, 
IF(COUNTIF(Q95:Q114, "TRUE") &gt;= 6, Setup!$E$9)))
))))</f>
        <v/>
      </c>
      <c r="R115" s="24" t="str">
        <f t="array" ref="R115">IF(COUNTIF(R95:R114, "TRUE") = 1, Setup!$E$4, 
IF(COUNTIF(R95:R114, "TRUE") = 0, Setup!$E$3,
IF(COUNTIF(R95:R114, "TRUE") = 2, Setup!$E$5, 
IF(COUNTIF(R95:R114, "TRUE") = 3, Setup!$E$6, 
IF(COUNTIF(R95:R114, "TRUE") = 4, Setup!$E$7, 
IF(COUNTIF(R95:R114, "TRUE") = 5, Setup!$E$8, 
IF(COUNTIF(R95:R114, "TRUE") &gt;= 6, Setup!$E$9)))
))))</f>
        <v/>
      </c>
      <c r="S115" s="24" t="str">
        <f t="array" ref="S115">IF(COUNTIF(S95:S114, "TRUE") = 1, Setup!$E$4, 
IF(COUNTIF(S95:S114, "TRUE") = 0, Setup!$E$3,
IF(COUNTIF(S95:S114, "TRUE") = 2, Setup!$E$5, 
IF(COUNTIF(S95:S114, "TRUE") = 3, Setup!$E$6, 
IF(COUNTIF(S95:S114, "TRUE") = 4, Setup!$E$7, 
IF(COUNTIF(S95:S114, "TRUE") = 5, Setup!$E$8, 
IF(COUNTIF(S95:S114, "TRUE") &gt;= 6, Setup!$E$9)))
))))</f>
        <v/>
      </c>
      <c r="T115" s="24" t="str">
        <f t="array" ref="T115">IF(COUNTIF(T95:T114, "TRUE") = 1, Setup!$E$4, 
IF(COUNTIF(T95:T114, "TRUE") = 0, Setup!$E$3,
IF(COUNTIF(T95:T114, "TRUE") = 2, Setup!$E$5, 
IF(COUNTIF(T95:T114, "TRUE") = 3, Setup!$E$6, 
IF(COUNTIF(T95:T114, "TRUE") = 4, Setup!$E$7, 
IF(COUNTIF(T95:T114, "TRUE") = 5, Setup!$E$8, 
IF(COUNTIF(T95:T114, "TRUE") &gt;= 6, Setup!$E$9)))
))))</f>
        <v/>
      </c>
      <c r="U115" s="24" t="str">
        <f t="array" ref="U115">IF(COUNTIF(U95:U114, "TRUE") = 1, Setup!$E$4, 
IF(COUNTIF(U95:U114, "TRUE") = 0, Setup!$E$3,
IF(COUNTIF(U95:U114, "TRUE") = 2, Setup!$E$5, 
IF(COUNTIF(U95:U114, "TRUE") = 3, Setup!$E$6, 
IF(COUNTIF(U95:U114, "TRUE") = 4, Setup!$E$7, 
IF(COUNTIF(U95:U114, "TRUE") = 5, Setup!$E$8, 
IF(COUNTIF(U95:U114, "TRUE") &gt;= 6, Setup!$E$9)))
))))</f>
        <v/>
      </c>
      <c r="V115" s="24" t="str">
        <f t="array" ref="V115">IF(COUNTIF(V95:V114, "TRUE") = 1, Setup!$E$4, 
IF(COUNTIF(V95:V114, "TRUE") = 0, Setup!$E$3,
IF(COUNTIF(V95:V114, "TRUE") = 2, Setup!$E$5, 
IF(COUNTIF(V95:V114, "TRUE") = 3, Setup!$E$6, 
IF(COUNTIF(V95:V114, "TRUE") = 4, Setup!$E$7, 
IF(COUNTIF(V95:V114, "TRUE") = 5, Setup!$E$8, 
IF(COUNTIF(V95:V114, "TRUE") &gt;= 6, Setup!$E$9)))
))))</f>
        <v/>
      </c>
      <c r="W115" s="24" t="str">
        <f t="array" ref="W115">IF(COUNTIF(W95:W114, "TRUE") = 1, Setup!$E$4, 
IF(COUNTIF(W95:W114, "TRUE") = 0, Setup!$E$3,
IF(COUNTIF(W95:W114, "TRUE") = 2, Setup!$E$5, 
IF(COUNTIF(W95:W114, "TRUE") = 3, Setup!$E$6, 
IF(COUNTIF(W95:W114, "TRUE") = 4, Setup!$E$7, 
IF(COUNTIF(W95:W114, "TRUE") = 5, Setup!$E$8, 
IF(COUNTIF(W95:W114, "TRUE") &gt;= 6, Setup!$E$9)))
))))</f>
        <v/>
      </c>
      <c r="X115" s="24" t="str">
        <f t="array" ref="X115">IF(COUNTIF(X95:X114, "TRUE") = 1, Setup!$E$4, 
IF(COUNTIF(X95:X114, "TRUE") = 0, Setup!$E$3,
IF(COUNTIF(X95:X114, "TRUE") = 2, Setup!$E$5, 
IF(COUNTIF(X95:X114, "TRUE") = 3, Setup!$E$6, 
IF(COUNTIF(X95:X114, "TRUE") = 4, Setup!$E$7, 
IF(COUNTIF(X95:X114, "TRUE") = 5, Setup!$E$8, 
IF(COUNTIF(X95:X114, "TRUE") &gt;= 6, Setup!$E$9)))
))))</f>
        <v/>
      </c>
      <c r="Y115" s="24" t="str">
        <f t="array" ref="Y115">IF(COUNTIF(Y95:Y114, "TRUE") = 1, Setup!$E$4, 
IF(COUNTIF(Y95:Y114, "TRUE") = 0, Setup!$E$3,
IF(COUNTIF(Y95:Y114, "TRUE") = 2, Setup!$E$5, 
IF(COUNTIF(Y95:Y114, "TRUE") = 3, Setup!$E$6, 
IF(COUNTIF(Y95:Y114, "TRUE") = 4, Setup!$E$7, 
IF(COUNTIF(Y95:Y114, "TRUE") = 5, Setup!$E$8, 
IF(COUNTIF(Y95:Y114, "TRUE") &gt;= 6, Setup!$E$9)))
))))</f>
        <v/>
      </c>
      <c r="Z115" s="24" t="str">
        <f t="array" ref="Z115">IF(COUNTIF(Z95:Z114, "TRUE") = 1, Setup!$E$4, 
IF(COUNTIF(Z95:Z114, "TRUE") = 0, Setup!$E$3,
IF(COUNTIF(Z95:Z114, "TRUE") = 2, Setup!$E$5, 
IF(COUNTIF(Z95:Z114, "TRUE") = 3, Setup!$E$6, 
IF(COUNTIF(Z95:Z114, "TRUE") = 4, Setup!$E$7, 
IF(COUNTIF(Z95:Z114, "TRUE") = 5, Setup!$E$8, 
IF(COUNTIF(Z95:Z114, "TRUE") &gt;= 6, Setup!$E$9)))
))))</f>
        <v/>
      </c>
      <c r="AA115" s="24" t="str">
        <f t="array" ref="AA115">IF(COUNTIF(AA95:AA114, "TRUE") = 1, Setup!$E$4, 
IF(COUNTIF(AA95:AA114, "TRUE") = 0, Setup!$E$3,
IF(COUNTIF(AA95:AA114, "TRUE") = 2, Setup!$E$5, 
IF(COUNTIF(AA95:AA114, "TRUE") = 3, Setup!$E$6, 
IF(COUNTIF(AA95:AA114, "TRUE") = 4, Setup!$E$7, 
IF(COUNTIF(AA95:AA114, "TRUE") = 5, Setup!$E$8, 
IF(COUNTIF(AA95:AA114, "TRUE") &gt;= 6, Setup!$E$9)))
))))</f>
        <v/>
      </c>
      <c r="AB115" s="24" t="str">
        <f t="array" ref="AB115">IF(COUNTIF(AB95:AB114, "TRUE") = 1, Setup!$E$4, 
IF(COUNTIF(AB95:AB114, "TRUE") = 0, Setup!$E$3,
IF(COUNTIF(AB95:AB114, "TRUE") = 2, Setup!$E$5, 
IF(COUNTIF(AB95:AB114, "TRUE") = 3, Setup!$E$6, 
IF(COUNTIF(AB95:AB114, "TRUE") = 4, Setup!$E$7, 
IF(COUNTIF(AB95:AB114, "TRUE") = 5, Setup!$E$8, 
IF(COUNTIF(AB95:AB114, "TRUE") &gt;= 6, Setup!$E$9)))
))))</f>
        <v/>
      </c>
      <c r="AC115" s="24" t="str">
        <f t="array" ref="AC115">IF(COUNTIF(AC95:AC114, "TRUE") = 1, Setup!$E$4, 
IF(COUNTIF(AC95:AC114, "TRUE") = 0, Setup!$E$3,
IF(COUNTIF(AC95:AC114, "TRUE") = 2, Setup!$E$5, 
IF(COUNTIF(AC95:AC114, "TRUE") = 3, Setup!$E$6, 
IF(COUNTIF(AC95:AC114, "TRUE") = 4, Setup!$E$7, 
IF(COUNTIF(AC95:AC114, "TRUE") = 5, Setup!$E$8, 
IF(COUNTIF(AC95:AC114, "TRUE") &gt;= 6, Setup!$E$9)))
))))</f>
        <v/>
      </c>
      <c r="AD115" s="24" t="str">
        <f t="array" ref="AD115">IF(COUNTIF(AD95:AD114, "TRUE") = 1, Setup!$E$4, 
IF(COUNTIF(AD95:AD114, "TRUE") = 0, Setup!$E$3,
IF(COUNTIF(AD95:AD114, "TRUE") = 2, Setup!$E$5, 
IF(COUNTIF(AD95:AD114, "TRUE") = 3, Setup!$E$6, 
IF(COUNTIF(AD95:AD114, "TRUE") = 4, Setup!$E$7, 
IF(COUNTIF(AD95:AD114, "TRUE") = 5, Setup!$E$8, 
IF(COUNTIF(AD95:AD114, "TRUE") &gt;= 6, Setup!$E$9)))
))))</f>
        <v/>
      </c>
      <c r="AE115" s="24" t="str">
        <f t="array" ref="AE115">IF(COUNTIF(AE95:AE114, "TRUE") = 1, Setup!$E$4, 
IF(COUNTIF(AE95:AE114, "TRUE") = 0, Setup!$E$3,
IF(COUNTIF(AE95:AE114, "TRUE") = 2, Setup!$E$5, 
IF(COUNTIF(AE95:AE114, "TRUE") = 3, Setup!$E$6, 
IF(COUNTIF(AE95:AE114, "TRUE") = 4, Setup!$E$7, 
IF(COUNTIF(AE95:AE114, "TRUE") = 5, Setup!$E$8, 
IF(COUNTIF(AE95:AE114, "TRUE") &gt;= 6, Setup!$E$9)))
))))</f>
        <v/>
      </c>
      <c r="AF115" s="24" t="str">
        <f t="array" ref="AF115">IF(COUNTIF(AF95:AF114, "TRUE") = 1, Setup!$E$4, 
IF(COUNTIF(AF95:AF114, "TRUE") = 0, Setup!$E$3,
IF(COUNTIF(AF95:AF114, "TRUE") = 2, Setup!$E$5, 
IF(COUNTIF(AF95:AF114, "TRUE") = 3, Setup!$E$6, 
IF(COUNTIF(AF95:AF114, "TRUE") = 4, Setup!$E$7, 
IF(COUNTIF(AF95:AF114, "TRUE") = 5, Setup!$E$8, 
IF(COUNTIF(AF95:AF114, "TRUE") &gt;= 6, Setup!$E$9)))
))))</f>
        <v/>
      </c>
      <c r="AG115" s="24" t="str">
        <f t="array" ref="AG115">IF(COUNTIF(AG95:AG114, "TRUE") = 1, Setup!$E$4, 
IF(COUNTIF(AG95:AG114, "TRUE") = 0, Setup!$E$3,
IF(COUNTIF(AG95:AG114, "TRUE") = 2, Setup!$E$5, 
IF(COUNTIF(AG95:AG114, "TRUE") = 3, Setup!$E$6, 
IF(COUNTIF(AG95:AG114, "TRUE") = 4, Setup!$E$7, 
IF(COUNTIF(AG95:AG114, "TRUE") = 5, Setup!$E$8, 
IF(COUNTIF(AG95:AG114, "TRUE") &gt;= 6, Setup!$E$9)))
))))</f>
        <v/>
      </c>
      <c r="AH115" s="24" t="str">
        <f t="array" ref="AH115">IF(COUNTIF(AH95:AH114, "TRUE") = 1, Setup!$E$4, 
IF(COUNTIF(AH95:AH114, "TRUE") = 0, Setup!$E$3,
IF(COUNTIF(AH95:AH114, "TRUE") = 2, Setup!$E$5, 
IF(COUNTIF(AH95:AH114, "TRUE") = 3, Setup!$E$6, 
IF(COUNTIF(AH95:AH114, "TRUE") = 4, Setup!$E$7, 
IF(COUNTIF(AH95:AH114, "TRUE") = 5, Setup!$E$8, 
IF(COUNTIF(AH95:AH114, "TRUE") &gt;= 6, Setup!$E$9)))
))))</f>
        <v/>
      </c>
      <c r="AI115" s="24" t="str">
        <f t="array" ref="AI115">IF(COUNTIF(AI95:AI114, "TRUE") = 1, Setup!$E$4, 
IF(COUNTIF(AI95:AI114, "TRUE") = 0, Setup!$E$3,
IF(COUNTIF(AI95:AI114, "TRUE") = 2, Setup!$E$5, 
IF(COUNTIF(AI95:AI114, "TRUE") = 3, Setup!$E$6, 
IF(COUNTIF(AI95:AI114, "TRUE") = 4, Setup!$E$7, 
IF(COUNTIF(AI95:AI114, "TRUE") = 5, Setup!$E$8, 
IF(COUNTIF(AI95:AI114, "TRUE") &gt;= 6, Setup!$E$9)))
))))</f>
        <v/>
      </c>
      <c r="AJ115" s="24" t="str">
        <f t="array" ref="AJ115">IF(COUNTIF(AJ95:AJ114, "TRUE") = 1, Setup!$E$4, 
IF(COUNTIF(AJ95:AJ114, "TRUE") = 0, Setup!$E$3,
IF(COUNTIF(AJ95:AJ114, "TRUE") = 2, Setup!$E$5, 
IF(COUNTIF(AJ95:AJ114, "TRUE") = 3, Setup!$E$6, 
IF(COUNTIF(AJ95:AJ114, "TRUE") = 4, Setup!$E$7, 
IF(COUNTIF(AJ95:AJ114, "TRUE") = 5, Setup!$E$8, 
IF(COUNTIF(AJ95:AJ114, "TRUE") &gt;= 6, Setup!$E$9)))
))))</f>
        <v/>
      </c>
      <c r="AK115" s="24" t="str">
        <f t="array" ref="AK115">IF(COUNTIF(AK95:AK114, "TRUE") = 1, Setup!$E$4, 
IF(COUNTIF(AK95:AK114, "TRUE") = 0, Setup!$E$3,
IF(COUNTIF(AK95:AK114, "TRUE") = 2, Setup!$E$5, 
IF(COUNTIF(AK95:AK114, "TRUE") = 3, Setup!$E$6, 
IF(COUNTIF(AK95:AK114, "TRUE") = 4, Setup!$E$7, 
IF(COUNTIF(AK95:AK114, "TRUE") = 5, Setup!$E$8, 
IF(COUNTIF(AK95:AK114, "TRUE") &gt;= 6, Setup!$E$9)))
))))</f>
        <v/>
      </c>
      <c r="AL115" s="24" t="str">
        <f t="array" ref="AL115">IF(COUNTIF(AL95:AL114, "TRUE") = 1, Setup!$E$4, 
IF(COUNTIF(AL95:AL114, "TRUE") = 0, Setup!$E$3,
IF(COUNTIF(AL95:AL114, "TRUE") = 2, Setup!$E$5, 
IF(COUNTIF(AL95:AL114, "TRUE") = 3, Setup!$E$6, 
IF(COUNTIF(AL95:AL114, "TRUE") = 4, Setup!$E$7, 
IF(COUNTIF(AL95:AL114, "TRUE") = 5, Setup!$E$8, 
IF(COUNTIF(AL95:AL114, "TRUE") &gt;= 6, Setup!$E$9)))
))))</f>
        <v/>
      </c>
      <c r="AM115" s="24" t="str">
        <f t="array" ref="AM115">IF(COUNTIF(AM95:AM114, "TRUE") = 1, Setup!$E$4, 
IF(COUNTIF(AM95:AM114, "TRUE") = 0, Setup!$E$3,
IF(COUNTIF(AM95:AM114, "TRUE") = 2, Setup!$E$5, 
IF(COUNTIF(AM95:AM114, "TRUE") = 3, Setup!$E$6, 
IF(COUNTIF(AM95:AM114, "TRUE") = 4, Setup!$E$7, 
IF(COUNTIF(AM95:AM114, "TRUE") = 5, Setup!$E$8, 
IF(COUNTIF(AM95:AM114, "TRUE") &gt;= 6, Setup!$E$9)))
))))</f>
        <v/>
      </c>
      <c r="AN115" s="24" t="str">
        <f t="array" ref="AN115">IF(COUNTIF(AN95:AN114, "TRUE") = 1, Setup!$E$4, 
IF(COUNTIF(AN95:AN114, "TRUE") = 0, Setup!$E$3,
IF(COUNTIF(AN95:AN114, "TRUE") = 2, Setup!$E$5, 
IF(COUNTIF(AN95:AN114, "TRUE") = 3, Setup!$E$6, 
IF(COUNTIF(AN95:AN114, "TRUE") = 4, Setup!$E$7, 
IF(COUNTIF(AN95:AN114, "TRUE") = 5, Setup!$E$8, 
IF(COUNTIF(AN95:AN114, "TRUE") &gt;= 6, Setup!$E$9)))
))))</f>
        <v/>
      </c>
      <c r="AO115" s="38"/>
      <c r="AQ115" s="38"/>
      <c r="AR115" s="38"/>
      <c r="AS115" s="38"/>
      <c r="AT115" s="38"/>
    </row>
    <row r="116">
      <c r="A116" s="13" t="s">
        <v>47</v>
      </c>
      <c r="B116" s="13" t="s">
        <v>48</v>
      </c>
      <c r="I116" s="15" t="s">
        <v>49</v>
      </c>
      <c r="J116" s="16">
        <f t="array" ref="J116">DATE($D$1, MATCH(I116, {"January","February","March","April","May","June","July","August","September","October","November","December"}, 0), 1)</f>
        <v>46174</v>
      </c>
      <c r="K116" s="16">
        <f t="shared" ref="K116:AM116" si="66">J116+1</f>
        <v>46175</v>
      </c>
      <c r="L116" s="16">
        <f t="shared" si="66"/>
        <v>46176</v>
      </c>
      <c r="M116" s="16">
        <f t="shared" si="66"/>
        <v>46177</v>
      </c>
      <c r="N116" s="16">
        <f t="shared" si="66"/>
        <v>46178</v>
      </c>
      <c r="O116" s="16">
        <f t="shared" si="66"/>
        <v>46179</v>
      </c>
      <c r="P116" s="16">
        <f t="shared" si="66"/>
        <v>46180</v>
      </c>
      <c r="Q116" s="16">
        <f t="shared" si="66"/>
        <v>46181</v>
      </c>
      <c r="R116" s="16">
        <f t="shared" si="66"/>
        <v>46182</v>
      </c>
      <c r="S116" s="16">
        <f t="shared" si="66"/>
        <v>46183</v>
      </c>
      <c r="T116" s="16">
        <f t="shared" si="66"/>
        <v>46184</v>
      </c>
      <c r="U116" s="16">
        <f t="shared" si="66"/>
        <v>46185</v>
      </c>
      <c r="V116" s="16">
        <f t="shared" si="66"/>
        <v>46186</v>
      </c>
      <c r="W116" s="16">
        <f t="shared" si="66"/>
        <v>46187</v>
      </c>
      <c r="X116" s="16">
        <f t="shared" si="66"/>
        <v>46188</v>
      </c>
      <c r="Y116" s="16">
        <f t="shared" si="66"/>
        <v>46189</v>
      </c>
      <c r="Z116" s="16">
        <f t="shared" si="66"/>
        <v>46190</v>
      </c>
      <c r="AA116" s="16">
        <f t="shared" si="66"/>
        <v>46191</v>
      </c>
      <c r="AB116" s="16">
        <f t="shared" si="66"/>
        <v>46192</v>
      </c>
      <c r="AC116" s="16">
        <f t="shared" si="66"/>
        <v>46193</v>
      </c>
      <c r="AD116" s="16">
        <f t="shared" si="66"/>
        <v>46194</v>
      </c>
      <c r="AE116" s="16">
        <f t="shared" si="66"/>
        <v>46195</v>
      </c>
      <c r="AF116" s="16">
        <f t="shared" si="66"/>
        <v>46196</v>
      </c>
      <c r="AG116" s="16">
        <f t="shared" si="66"/>
        <v>46197</v>
      </c>
      <c r="AH116" s="16">
        <f t="shared" si="66"/>
        <v>46198</v>
      </c>
      <c r="AI116" s="16">
        <f t="shared" si="66"/>
        <v>46199</v>
      </c>
      <c r="AJ116" s="16">
        <f t="shared" si="66"/>
        <v>46200</v>
      </c>
      <c r="AK116" s="16">
        <f t="shared" si="66"/>
        <v>46201</v>
      </c>
      <c r="AL116" s="16">
        <f t="shared" si="66"/>
        <v>46202</v>
      </c>
      <c r="AM116" s="16">
        <f t="shared" si="66"/>
        <v>46203</v>
      </c>
      <c r="AN116" s="16"/>
      <c r="AO116" s="17" t="s">
        <v>28</v>
      </c>
      <c r="AQ116" s="18" t="s">
        <v>29</v>
      </c>
      <c r="AR116" s="18" t="s">
        <v>30</v>
      </c>
      <c r="AS116" s="18" t="s">
        <v>31</v>
      </c>
      <c r="AT116" s="18" t="s">
        <v>32</v>
      </c>
    </row>
    <row r="117" ht="15.0" customHeight="1">
      <c r="A117" s="34"/>
      <c r="B117" s="34"/>
      <c r="I117" s="35"/>
      <c r="J117" s="36">
        <f t="shared" ref="J117:AN117" si="67">J116</f>
        <v>46174</v>
      </c>
      <c r="K117" s="36">
        <f t="shared" si="67"/>
        <v>46175</v>
      </c>
      <c r="L117" s="36">
        <f t="shared" si="67"/>
        <v>46176</v>
      </c>
      <c r="M117" s="36">
        <f t="shared" si="67"/>
        <v>46177</v>
      </c>
      <c r="N117" s="36">
        <f t="shared" si="67"/>
        <v>46178</v>
      </c>
      <c r="O117" s="36">
        <f t="shared" si="67"/>
        <v>46179</v>
      </c>
      <c r="P117" s="36">
        <f t="shared" si="67"/>
        <v>46180</v>
      </c>
      <c r="Q117" s="36">
        <f t="shared" si="67"/>
        <v>46181</v>
      </c>
      <c r="R117" s="36">
        <f t="shared" si="67"/>
        <v>46182</v>
      </c>
      <c r="S117" s="36">
        <f t="shared" si="67"/>
        <v>46183</v>
      </c>
      <c r="T117" s="36">
        <f t="shared" si="67"/>
        <v>46184</v>
      </c>
      <c r="U117" s="36">
        <f t="shared" si="67"/>
        <v>46185</v>
      </c>
      <c r="V117" s="36">
        <f t="shared" si="67"/>
        <v>46186</v>
      </c>
      <c r="W117" s="36">
        <f t="shared" si="67"/>
        <v>46187</v>
      </c>
      <c r="X117" s="36">
        <f t="shared" si="67"/>
        <v>46188</v>
      </c>
      <c r="Y117" s="36">
        <f t="shared" si="67"/>
        <v>46189</v>
      </c>
      <c r="Z117" s="36">
        <f t="shared" si="67"/>
        <v>46190</v>
      </c>
      <c r="AA117" s="36">
        <f t="shared" si="67"/>
        <v>46191</v>
      </c>
      <c r="AB117" s="36">
        <f t="shared" si="67"/>
        <v>46192</v>
      </c>
      <c r="AC117" s="36">
        <f t="shared" si="67"/>
        <v>46193</v>
      </c>
      <c r="AD117" s="36">
        <f t="shared" si="67"/>
        <v>46194</v>
      </c>
      <c r="AE117" s="36">
        <f t="shared" si="67"/>
        <v>46195</v>
      </c>
      <c r="AF117" s="36">
        <f t="shared" si="67"/>
        <v>46196</v>
      </c>
      <c r="AG117" s="36">
        <f t="shared" si="67"/>
        <v>46197</v>
      </c>
      <c r="AH117" s="36">
        <f t="shared" si="67"/>
        <v>46198</v>
      </c>
      <c r="AI117" s="36">
        <f t="shared" si="67"/>
        <v>46199</v>
      </c>
      <c r="AJ117" s="36">
        <f t="shared" si="67"/>
        <v>46200</v>
      </c>
      <c r="AK117" s="36">
        <f t="shared" si="67"/>
        <v>46201</v>
      </c>
      <c r="AL117" s="36">
        <f t="shared" si="67"/>
        <v>46202</v>
      </c>
      <c r="AM117" s="36">
        <f t="shared" si="67"/>
        <v>46203</v>
      </c>
      <c r="AN117" s="36" t="str">
        <f t="shared" si="67"/>
        <v/>
      </c>
    </row>
    <row r="118">
      <c r="A118" s="22"/>
      <c r="B118" s="46" t="str">
        <f t="shared" ref="B118:H118" si="68">IF($E$2="Monday", TEXT(TODAY()-WEEKDAY(TODAY(),2)+COLUMN(B118)-1,"ddd"), TEXT(TODAY()-WEEKDAY(TODAY(),1)+IF(COLUMN(B118)&gt;1,COLUMN(B118)-1,7),"ddd"))
</f>
        <v>Mon</v>
      </c>
      <c r="C118" s="46" t="str">
        <f t="shared" si="68"/>
        <v>Tue</v>
      </c>
      <c r="D118" s="46" t="str">
        <f t="shared" si="68"/>
        <v>Wed</v>
      </c>
      <c r="E118" s="46" t="str">
        <f t="shared" si="68"/>
        <v>Thu</v>
      </c>
      <c r="F118" s="46" t="str">
        <f t="shared" si="68"/>
        <v>Fri</v>
      </c>
      <c r="G118" s="46" t="str">
        <f t="shared" si="68"/>
        <v>Sat</v>
      </c>
      <c r="H118" s="46" t="str">
        <f t="shared" si="68"/>
        <v>Sun</v>
      </c>
      <c r="I118" s="6" t="str">
        <f t="array" ref="I118:I137">Setup!$B$3:$B$22</f>
        <v>🧘🏻‍♀️Yoga</v>
      </c>
      <c r="J118" s="38" t="b">
        <v>0</v>
      </c>
      <c r="K118" s="38" t="b">
        <v>0</v>
      </c>
      <c r="L118" s="38" t="b">
        <v>0</v>
      </c>
      <c r="M118" s="38" t="b">
        <v>0</v>
      </c>
      <c r="N118" s="38" t="b">
        <v>0</v>
      </c>
      <c r="O118" s="38" t="b">
        <v>0</v>
      </c>
      <c r="P118" s="38" t="b">
        <v>0</v>
      </c>
      <c r="Q118" s="38" t="b">
        <v>0</v>
      </c>
      <c r="R118" s="38" t="b">
        <v>0</v>
      </c>
      <c r="S118" s="38" t="b">
        <v>0</v>
      </c>
      <c r="T118" s="38" t="b">
        <v>0</v>
      </c>
      <c r="U118" s="38" t="b">
        <v>0</v>
      </c>
      <c r="V118" s="38" t="b">
        <v>0</v>
      </c>
      <c r="W118" s="38" t="b">
        <v>0</v>
      </c>
      <c r="X118" s="38" t="b">
        <v>0</v>
      </c>
      <c r="Y118" s="38" t="b">
        <v>0</v>
      </c>
      <c r="Z118" s="38" t="b">
        <v>0</v>
      </c>
      <c r="AA118" s="38" t="b">
        <v>0</v>
      </c>
      <c r="AB118" s="38" t="b">
        <v>0</v>
      </c>
      <c r="AC118" s="38" t="b">
        <v>0</v>
      </c>
      <c r="AD118" s="38" t="b">
        <v>0</v>
      </c>
      <c r="AE118" s="38" t="b">
        <v>0</v>
      </c>
      <c r="AF118" s="38" t="b">
        <v>0</v>
      </c>
      <c r="AG118" s="38" t="b">
        <v>0</v>
      </c>
      <c r="AH118" s="38" t="b">
        <v>0</v>
      </c>
      <c r="AI118" s="38" t="b">
        <v>0</v>
      </c>
      <c r="AJ118" s="38" t="b">
        <v>0</v>
      </c>
      <c r="AK118" s="38" t="b">
        <v>0</v>
      </c>
      <c r="AL118" s="38" t="b">
        <v>0</v>
      </c>
      <c r="AM118" s="38" t="b">
        <v>0</v>
      </c>
      <c r="AN118" s="24"/>
      <c r="AO118" s="25">
        <f t="shared" ref="AO118:AO137" si="70">COUNTIF(J118:AN118, "TRUE")</f>
        <v>0</v>
      </c>
      <c r="AQ118" s="25">
        <f>IFERROR(__xludf.DUMMYFUNCTION("if(iserror(match(true,J118:AN118,0)),0,len(index(split(substitute(substitute(join("","",J118:AN118)&amp;"","",""TRUE,"",""x""),""FALSE,"","",""),"",""),,counta(split(substitute(substitute(join("","",J118:AN118)&amp;"","",""TRUE,"",""x""),""FALSE,"","",""),"",""))"&amp;")))"),0.0)</f>
        <v>0</v>
      </c>
      <c r="AR118" s="25" t="str">
        <f>IFERROR(__xludf.DUMMYFUNCTION("arrayformula( if( sum(J118:AN118 + 0), max( len( split( concatenate( left(J118:AN118) ), ""F"" ) ) ), ""0"" ) )"),"0")</f>
        <v>0</v>
      </c>
      <c r="AS118" s="26">
        <v>15.0</v>
      </c>
      <c r="AT118" s="27">
        <f t="shared" ref="AT118:AT137" si="71">AO118/AS118</f>
        <v>0</v>
      </c>
    </row>
    <row r="119">
      <c r="A119" s="28">
        <f>WEEKNUM(DATE($D$1, MONTH(I116 &amp; 1), 1), 2)
</f>
        <v>23</v>
      </c>
      <c r="B119" s="29">
        <f t="array" ref="B119">IFERROR(DATE($D$1, 1, (A119-1)*7 + 2 - WEEKDAY(DATE($D$1, 1, 1) - MATCH(B118, {"Mon","Tue","Wed","Thu","Fri","Sat","Sun"}, 0))), "")</f>
        <v>46174</v>
      </c>
      <c r="C119" s="30">
        <f t="shared" ref="C119:H119" si="69">B119+1</f>
        <v>46175</v>
      </c>
      <c r="D119" s="30">
        <f t="shared" si="69"/>
        <v>46176</v>
      </c>
      <c r="E119" s="30">
        <f t="shared" si="69"/>
        <v>46177</v>
      </c>
      <c r="F119" s="30">
        <f t="shared" si="69"/>
        <v>46178</v>
      </c>
      <c r="G119" s="30">
        <f t="shared" si="69"/>
        <v>46179</v>
      </c>
      <c r="H119" s="30">
        <f t="shared" si="69"/>
        <v>46180</v>
      </c>
      <c r="I119" s="6" t="s">
        <v>7</v>
      </c>
      <c r="J119" s="38" t="b">
        <v>0</v>
      </c>
      <c r="K119" s="38" t="b">
        <v>0</v>
      </c>
      <c r="L119" s="38" t="b">
        <v>0</v>
      </c>
      <c r="M119" s="38" t="b">
        <v>0</v>
      </c>
      <c r="N119" s="38" t="b">
        <v>0</v>
      </c>
      <c r="O119" s="38" t="b">
        <v>0</v>
      </c>
      <c r="P119" s="38" t="b">
        <v>0</v>
      </c>
      <c r="Q119" s="38" t="b">
        <v>0</v>
      </c>
      <c r="R119" s="38" t="b">
        <v>0</v>
      </c>
      <c r="S119" s="38" t="b">
        <v>0</v>
      </c>
      <c r="T119" s="38" t="b">
        <v>0</v>
      </c>
      <c r="U119" s="38" t="b">
        <v>0</v>
      </c>
      <c r="V119" s="38" t="b">
        <v>0</v>
      </c>
      <c r="W119" s="38" t="b">
        <v>0</v>
      </c>
      <c r="X119" s="38" t="b">
        <v>0</v>
      </c>
      <c r="Y119" s="38" t="b">
        <v>0</v>
      </c>
      <c r="Z119" s="38" t="b">
        <v>0</v>
      </c>
      <c r="AA119" s="38" t="b">
        <v>0</v>
      </c>
      <c r="AB119" s="38" t="b">
        <v>0</v>
      </c>
      <c r="AC119" s="38" t="b">
        <v>0</v>
      </c>
      <c r="AD119" s="38" t="b">
        <v>0</v>
      </c>
      <c r="AE119" s="38" t="b">
        <v>0</v>
      </c>
      <c r="AF119" s="38" t="b">
        <v>0</v>
      </c>
      <c r="AG119" s="38" t="b">
        <v>0</v>
      </c>
      <c r="AH119" s="38" t="b">
        <v>0</v>
      </c>
      <c r="AI119" s="38" t="b">
        <v>0</v>
      </c>
      <c r="AJ119" s="38" t="b">
        <v>0</v>
      </c>
      <c r="AK119" s="38" t="b">
        <v>0</v>
      </c>
      <c r="AL119" s="38" t="b">
        <v>0</v>
      </c>
      <c r="AM119" s="38" t="b">
        <v>0</v>
      </c>
      <c r="AN119" s="38"/>
      <c r="AO119" s="25">
        <f t="shared" si="70"/>
        <v>0</v>
      </c>
      <c r="AQ119" s="25">
        <f>IFERROR(__xludf.DUMMYFUNCTION("if(iserror(match(true,J119:AN119,0)),0,len(index(split(substitute(substitute(join("","",J119:AN119)&amp;"","",""TRUE,"",""x""),""FALSE,"","",""),"",""),,counta(split(substitute(substitute(join("","",J119:AN119)&amp;"","",""TRUE,"",""x""),""FALSE,"","",""),"",""))"&amp;")))"),0.0)</f>
        <v>0</v>
      </c>
      <c r="AR119" s="25" t="str">
        <f>IFERROR(__xludf.DUMMYFUNCTION("arrayformula( if( sum(J119:AN119 + 0), max( len( split( concatenate( left(J119:AN119) ), ""F"" ) ) ), ""0"" ) )"),"0")</f>
        <v>0</v>
      </c>
      <c r="AS119" s="26">
        <v>20.0</v>
      </c>
      <c r="AT119" s="27">
        <f t="shared" si="71"/>
        <v>0</v>
      </c>
    </row>
    <row r="120">
      <c r="A120" s="31">
        <f t="shared" ref="A120:A124" si="73">A119+1</f>
        <v>24</v>
      </c>
      <c r="B120" s="30">
        <f t="shared" ref="B120:B124" si="74">H119+1</f>
        <v>46181</v>
      </c>
      <c r="C120" s="30">
        <f t="shared" ref="C120:H120" si="72">B120+1</f>
        <v>46182</v>
      </c>
      <c r="D120" s="30">
        <f t="shared" si="72"/>
        <v>46183</v>
      </c>
      <c r="E120" s="30">
        <f t="shared" si="72"/>
        <v>46184</v>
      </c>
      <c r="F120" s="30">
        <f t="shared" si="72"/>
        <v>46185</v>
      </c>
      <c r="G120" s="30">
        <f t="shared" si="72"/>
        <v>46186</v>
      </c>
      <c r="H120" s="30">
        <f t="shared" si="72"/>
        <v>46187</v>
      </c>
      <c r="I120" s="6" t="s">
        <v>11</v>
      </c>
      <c r="J120" s="38" t="b">
        <v>0</v>
      </c>
      <c r="K120" s="38" t="b">
        <v>0</v>
      </c>
      <c r="L120" s="38" t="b">
        <v>0</v>
      </c>
      <c r="M120" s="38" t="b">
        <v>0</v>
      </c>
      <c r="N120" s="38" t="b">
        <v>0</v>
      </c>
      <c r="O120" s="38" t="b">
        <v>0</v>
      </c>
      <c r="P120" s="38" t="b">
        <v>0</v>
      </c>
      <c r="Q120" s="38" t="b">
        <v>0</v>
      </c>
      <c r="R120" s="38" t="b">
        <v>0</v>
      </c>
      <c r="S120" s="38" t="b">
        <v>0</v>
      </c>
      <c r="T120" s="38" t="b">
        <v>0</v>
      </c>
      <c r="U120" s="38" t="b">
        <v>0</v>
      </c>
      <c r="V120" s="38" t="b">
        <v>0</v>
      </c>
      <c r="W120" s="38" t="b">
        <v>0</v>
      </c>
      <c r="X120" s="38" t="b">
        <v>0</v>
      </c>
      <c r="Y120" s="38" t="b">
        <v>0</v>
      </c>
      <c r="Z120" s="38" t="b">
        <v>0</v>
      </c>
      <c r="AA120" s="38" t="b">
        <v>0</v>
      </c>
      <c r="AB120" s="38" t="b">
        <v>0</v>
      </c>
      <c r="AC120" s="38" t="b">
        <v>0</v>
      </c>
      <c r="AD120" s="38" t="b">
        <v>0</v>
      </c>
      <c r="AE120" s="38" t="b">
        <v>0</v>
      </c>
      <c r="AF120" s="38" t="b">
        <v>0</v>
      </c>
      <c r="AG120" s="38" t="b">
        <v>0</v>
      </c>
      <c r="AH120" s="38" t="b">
        <v>0</v>
      </c>
      <c r="AI120" s="38" t="b">
        <v>0</v>
      </c>
      <c r="AJ120" s="38" t="b">
        <v>0</v>
      </c>
      <c r="AK120" s="38" t="b">
        <v>0</v>
      </c>
      <c r="AL120" s="38" t="b">
        <v>0</v>
      </c>
      <c r="AM120" s="38" t="b">
        <v>0</v>
      </c>
      <c r="AN120" s="38"/>
      <c r="AO120" s="25">
        <f t="shared" si="70"/>
        <v>0</v>
      </c>
      <c r="AQ120" s="25">
        <f>IFERROR(__xludf.DUMMYFUNCTION("if(iserror(match(true,J120:AN120,0)),0,len(index(split(substitute(substitute(join("","",J120:AN120)&amp;"","",""TRUE,"",""x""),""FALSE,"","",""),"",""),,counta(split(substitute(substitute(join("","",J120:AN120)&amp;"","",""TRUE,"",""x""),""FALSE,"","",""),"",""))"&amp;")))"),0.0)</f>
        <v>0</v>
      </c>
      <c r="AR120" s="25" t="str">
        <f>IFERROR(__xludf.DUMMYFUNCTION("arrayformula( if( sum(J120:AN120 + 0), max( len( split( concatenate( left(J120:AN120) ), ""F"" ) ) ), ""0"" ) )"),"0")</f>
        <v>0</v>
      </c>
      <c r="AS120" s="26">
        <v>30.0</v>
      </c>
      <c r="AT120" s="27">
        <f t="shared" si="71"/>
        <v>0</v>
      </c>
    </row>
    <row r="121">
      <c r="A121" s="31">
        <f t="shared" si="73"/>
        <v>25</v>
      </c>
      <c r="B121" s="30">
        <f t="shared" si="74"/>
        <v>46188</v>
      </c>
      <c r="C121" s="30">
        <f t="shared" ref="C121:H121" si="75">B121+1</f>
        <v>46189</v>
      </c>
      <c r="D121" s="30">
        <f t="shared" si="75"/>
        <v>46190</v>
      </c>
      <c r="E121" s="30">
        <f t="shared" si="75"/>
        <v>46191</v>
      </c>
      <c r="F121" s="30">
        <f t="shared" si="75"/>
        <v>46192</v>
      </c>
      <c r="G121" s="30">
        <f t="shared" si="75"/>
        <v>46193</v>
      </c>
      <c r="H121" s="30">
        <f t="shared" si="75"/>
        <v>46194</v>
      </c>
      <c r="I121" s="6" t="s">
        <v>14</v>
      </c>
      <c r="J121" s="38" t="b">
        <v>0</v>
      </c>
      <c r="K121" s="38" t="b">
        <v>0</v>
      </c>
      <c r="L121" s="38" t="b">
        <v>0</v>
      </c>
      <c r="M121" s="38" t="b">
        <v>0</v>
      </c>
      <c r="N121" s="38" t="b">
        <v>0</v>
      </c>
      <c r="O121" s="38" t="b">
        <v>0</v>
      </c>
      <c r="P121" s="38" t="b">
        <v>0</v>
      </c>
      <c r="Q121" s="38" t="b">
        <v>0</v>
      </c>
      <c r="R121" s="38" t="b">
        <v>0</v>
      </c>
      <c r="S121" s="38" t="b">
        <v>0</v>
      </c>
      <c r="T121" s="38" t="b">
        <v>0</v>
      </c>
      <c r="U121" s="38" t="b">
        <v>0</v>
      </c>
      <c r="V121" s="38" t="b">
        <v>0</v>
      </c>
      <c r="W121" s="38" t="b">
        <v>0</v>
      </c>
      <c r="X121" s="38" t="b">
        <v>0</v>
      </c>
      <c r="Y121" s="38" t="b">
        <v>0</v>
      </c>
      <c r="Z121" s="38" t="b">
        <v>0</v>
      </c>
      <c r="AA121" s="38" t="b">
        <v>0</v>
      </c>
      <c r="AB121" s="38" t="b">
        <v>0</v>
      </c>
      <c r="AC121" s="38" t="b">
        <v>0</v>
      </c>
      <c r="AD121" s="38" t="b">
        <v>0</v>
      </c>
      <c r="AE121" s="38" t="b">
        <v>0</v>
      </c>
      <c r="AF121" s="38" t="b">
        <v>0</v>
      </c>
      <c r="AG121" s="38" t="b">
        <v>0</v>
      </c>
      <c r="AH121" s="38" t="b">
        <v>0</v>
      </c>
      <c r="AI121" s="38" t="b">
        <v>0</v>
      </c>
      <c r="AJ121" s="38" t="b">
        <v>0</v>
      </c>
      <c r="AK121" s="38" t="b">
        <v>0</v>
      </c>
      <c r="AL121" s="38" t="b">
        <v>0</v>
      </c>
      <c r="AM121" s="38" t="b">
        <v>0</v>
      </c>
      <c r="AN121" s="38"/>
      <c r="AO121" s="25">
        <f t="shared" si="70"/>
        <v>0</v>
      </c>
      <c r="AQ121" s="25">
        <f>IFERROR(__xludf.DUMMYFUNCTION("if(iserror(match(true,J121:AN121,0)),0,len(index(split(substitute(substitute(join("","",J121:AN121)&amp;"","",""TRUE,"",""x""),""FALSE,"","",""),"",""),,counta(split(substitute(substitute(join("","",J121:AN121)&amp;"","",""TRUE,"",""x""),""FALSE,"","",""),"",""))"&amp;")))"),0.0)</f>
        <v>0</v>
      </c>
      <c r="AR121" s="25" t="str">
        <f>IFERROR(__xludf.DUMMYFUNCTION("arrayformula( if( sum(J121:AN121 + 0), max( len( split( concatenate( left(J121:AN121) ), ""F"" ) ) ), ""0"" ) )"),"0")</f>
        <v>0</v>
      </c>
      <c r="AS121" s="26">
        <v>20.0</v>
      </c>
      <c r="AT121" s="27">
        <f t="shared" si="71"/>
        <v>0</v>
      </c>
    </row>
    <row r="122">
      <c r="A122" s="31">
        <f t="shared" si="73"/>
        <v>26</v>
      </c>
      <c r="B122" s="30">
        <f t="shared" si="74"/>
        <v>46195</v>
      </c>
      <c r="C122" s="30">
        <f t="shared" ref="C122:H122" si="76">B122+1</f>
        <v>46196</v>
      </c>
      <c r="D122" s="30">
        <f t="shared" si="76"/>
        <v>46197</v>
      </c>
      <c r="E122" s="30">
        <f t="shared" si="76"/>
        <v>46198</v>
      </c>
      <c r="F122" s="30">
        <f t="shared" si="76"/>
        <v>46199</v>
      </c>
      <c r="G122" s="30">
        <f t="shared" si="76"/>
        <v>46200</v>
      </c>
      <c r="H122" s="30">
        <f t="shared" si="76"/>
        <v>46201</v>
      </c>
      <c r="I122" s="6" t="s">
        <v>17</v>
      </c>
      <c r="J122" s="38" t="b">
        <v>0</v>
      </c>
      <c r="K122" s="38" t="b">
        <v>0</v>
      </c>
      <c r="L122" s="38" t="b">
        <v>0</v>
      </c>
      <c r="M122" s="38" t="b">
        <v>0</v>
      </c>
      <c r="N122" s="38" t="b">
        <v>0</v>
      </c>
      <c r="O122" s="38" t="b">
        <v>0</v>
      </c>
      <c r="P122" s="38" t="b">
        <v>0</v>
      </c>
      <c r="Q122" s="38" t="b">
        <v>0</v>
      </c>
      <c r="R122" s="38" t="b">
        <v>0</v>
      </c>
      <c r="S122" s="38" t="b">
        <v>0</v>
      </c>
      <c r="T122" s="38" t="b">
        <v>0</v>
      </c>
      <c r="U122" s="38" t="b">
        <v>0</v>
      </c>
      <c r="V122" s="38" t="b">
        <v>0</v>
      </c>
      <c r="W122" s="38" t="b">
        <v>0</v>
      </c>
      <c r="X122" s="38" t="b">
        <v>0</v>
      </c>
      <c r="Y122" s="38" t="b">
        <v>0</v>
      </c>
      <c r="Z122" s="38" t="b">
        <v>0</v>
      </c>
      <c r="AA122" s="38" t="b">
        <v>0</v>
      </c>
      <c r="AB122" s="38" t="b">
        <v>0</v>
      </c>
      <c r="AC122" s="38" t="b">
        <v>0</v>
      </c>
      <c r="AD122" s="38" t="b">
        <v>0</v>
      </c>
      <c r="AE122" s="38" t="b">
        <v>0</v>
      </c>
      <c r="AF122" s="38" t="b">
        <v>0</v>
      </c>
      <c r="AG122" s="38" t="b">
        <v>0</v>
      </c>
      <c r="AH122" s="38" t="b">
        <v>0</v>
      </c>
      <c r="AI122" s="38" t="b">
        <v>0</v>
      </c>
      <c r="AJ122" s="38" t="b">
        <v>0</v>
      </c>
      <c r="AK122" s="38" t="b">
        <v>0</v>
      </c>
      <c r="AL122" s="38" t="b">
        <v>0</v>
      </c>
      <c r="AM122" s="38" t="b">
        <v>0</v>
      </c>
      <c r="AN122" s="38"/>
      <c r="AO122" s="25">
        <f t="shared" si="70"/>
        <v>0</v>
      </c>
      <c r="AQ122" s="25">
        <f>IFERROR(__xludf.DUMMYFUNCTION("if(iserror(match(true,J122:AN122,0)),0,len(index(split(substitute(substitute(join("","",J122:AN122)&amp;"","",""TRUE,"",""x""),""FALSE,"","",""),"",""),,counta(split(substitute(substitute(join("","",J122:AN122)&amp;"","",""TRUE,"",""x""),""FALSE,"","",""),"",""))"&amp;")))"),0.0)</f>
        <v>0</v>
      </c>
      <c r="AR122" s="25" t="str">
        <f>IFERROR(__xludf.DUMMYFUNCTION("arrayformula( if( sum(J122:AN122 + 0), max( len( split( concatenate( left(J122:AN122) ), ""F"" ) ) ), ""0"" ) )"),"0")</f>
        <v>0</v>
      </c>
      <c r="AS122" s="26">
        <v>20.0</v>
      </c>
      <c r="AT122" s="27">
        <f t="shared" si="71"/>
        <v>0</v>
      </c>
    </row>
    <row r="123">
      <c r="A123" s="31">
        <f t="shared" si="73"/>
        <v>27</v>
      </c>
      <c r="B123" s="30">
        <f t="shared" si="74"/>
        <v>46202</v>
      </c>
      <c r="C123" s="30">
        <f t="shared" ref="C123:H123" si="77">B123+1</f>
        <v>46203</v>
      </c>
      <c r="D123" s="30">
        <f t="shared" si="77"/>
        <v>46204</v>
      </c>
      <c r="E123" s="30">
        <f t="shared" si="77"/>
        <v>46205</v>
      </c>
      <c r="F123" s="30">
        <f t="shared" si="77"/>
        <v>46206</v>
      </c>
      <c r="G123" s="30">
        <f t="shared" si="77"/>
        <v>46207</v>
      </c>
      <c r="H123" s="30">
        <f t="shared" si="77"/>
        <v>46208</v>
      </c>
      <c r="I123" s="6" t="s">
        <v>20</v>
      </c>
      <c r="J123" s="38" t="b">
        <v>0</v>
      </c>
      <c r="K123" s="38" t="b">
        <v>0</v>
      </c>
      <c r="L123" s="38" t="b">
        <v>0</v>
      </c>
      <c r="M123" s="38" t="b">
        <v>0</v>
      </c>
      <c r="N123" s="38" t="b">
        <v>0</v>
      </c>
      <c r="O123" s="38" t="b">
        <v>0</v>
      </c>
      <c r="P123" s="38" t="b">
        <v>0</v>
      </c>
      <c r="Q123" s="38" t="b">
        <v>0</v>
      </c>
      <c r="R123" s="38" t="b">
        <v>0</v>
      </c>
      <c r="S123" s="38" t="b">
        <v>0</v>
      </c>
      <c r="T123" s="38" t="b">
        <v>0</v>
      </c>
      <c r="U123" s="38" t="b">
        <v>0</v>
      </c>
      <c r="V123" s="38" t="b">
        <v>0</v>
      </c>
      <c r="W123" s="38" t="b">
        <v>0</v>
      </c>
      <c r="X123" s="38" t="b">
        <v>0</v>
      </c>
      <c r="Y123" s="38" t="b">
        <v>0</v>
      </c>
      <c r="Z123" s="38" t="b">
        <v>0</v>
      </c>
      <c r="AA123" s="38" t="b">
        <v>0</v>
      </c>
      <c r="AB123" s="38" t="b">
        <v>0</v>
      </c>
      <c r="AC123" s="38" t="b">
        <v>0</v>
      </c>
      <c r="AD123" s="38" t="b">
        <v>0</v>
      </c>
      <c r="AE123" s="38" t="b">
        <v>0</v>
      </c>
      <c r="AF123" s="38" t="b">
        <v>0</v>
      </c>
      <c r="AG123" s="38" t="b">
        <v>0</v>
      </c>
      <c r="AH123" s="38" t="b">
        <v>0</v>
      </c>
      <c r="AI123" s="38" t="b">
        <v>0</v>
      </c>
      <c r="AJ123" s="38" t="b">
        <v>0</v>
      </c>
      <c r="AK123" s="38" t="b">
        <v>0</v>
      </c>
      <c r="AL123" s="38" t="b">
        <v>0</v>
      </c>
      <c r="AM123" s="38" t="b">
        <v>0</v>
      </c>
      <c r="AN123" s="38"/>
      <c r="AO123" s="25">
        <f t="shared" si="70"/>
        <v>0</v>
      </c>
      <c r="AQ123" s="25">
        <f>IFERROR(__xludf.DUMMYFUNCTION("if(iserror(match(true,J123:AN123,0)),0,len(index(split(substitute(substitute(join("","",J123:AN123)&amp;"","",""TRUE,"",""x""),""FALSE,"","",""),"",""),,counta(split(substitute(substitute(join("","",J123:AN123)&amp;"","",""TRUE,"",""x""),""FALSE,"","",""),"",""))"&amp;")))"),0.0)</f>
        <v>0</v>
      </c>
      <c r="AR123" s="25" t="str">
        <f>IFERROR(__xludf.DUMMYFUNCTION("arrayformula( if( sum(J123:AN123 + 0), max( len( split( concatenate( left(J123:AN123) ), ""F"" ) ) ), ""0"" ) )"),"0")</f>
        <v>0</v>
      </c>
      <c r="AS123" s="26">
        <v>15.0</v>
      </c>
      <c r="AT123" s="27">
        <f t="shared" si="71"/>
        <v>0</v>
      </c>
    </row>
    <row r="124">
      <c r="A124" s="31">
        <f t="shared" si="73"/>
        <v>28</v>
      </c>
      <c r="B124" s="30">
        <f t="shared" si="74"/>
        <v>46209</v>
      </c>
      <c r="C124" s="30">
        <f t="shared" ref="C124:H124" si="78">B124+1</f>
        <v>46210</v>
      </c>
      <c r="D124" s="30">
        <f t="shared" si="78"/>
        <v>46211</v>
      </c>
      <c r="E124" s="30">
        <f t="shared" si="78"/>
        <v>46212</v>
      </c>
      <c r="F124" s="30">
        <f t="shared" si="78"/>
        <v>46213</v>
      </c>
      <c r="G124" s="30">
        <f t="shared" si="78"/>
        <v>46214</v>
      </c>
      <c r="H124" s="30">
        <f t="shared" si="78"/>
        <v>46215</v>
      </c>
      <c r="I124" s="6"/>
      <c r="J124" s="38" t="b">
        <v>0</v>
      </c>
      <c r="K124" s="38" t="b">
        <v>0</v>
      </c>
      <c r="L124" s="38" t="b">
        <v>0</v>
      </c>
      <c r="M124" s="38" t="b">
        <v>0</v>
      </c>
      <c r="N124" s="38" t="b">
        <v>0</v>
      </c>
      <c r="O124" s="38" t="b">
        <v>0</v>
      </c>
      <c r="P124" s="38" t="b">
        <v>0</v>
      </c>
      <c r="Q124" s="38" t="b">
        <v>0</v>
      </c>
      <c r="R124" s="38" t="b">
        <v>0</v>
      </c>
      <c r="S124" s="38" t="b">
        <v>0</v>
      </c>
      <c r="T124" s="38" t="b">
        <v>0</v>
      </c>
      <c r="U124" s="38" t="b">
        <v>0</v>
      </c>
      <c r="V124" s="38" t="b">
        <v>0</v>
      </c>
      <c r="W124" s="38" t="b">
        <v>0</v>
      </c>
      <c r="X124" s="38" t="b">
        <v>0</v>
      </c>
      <c r="Y124" s="38" t="b">
        <v>0</v>
      </c>
      <c r="Z124" s="38" t="b">
        <v>0</v>
      </c>
      <c r="AA124" s="38" t="b">
        <v>0</v>
      </c>
      <c r="AB124" s="38" t="b">
        <v>0</v>
      </c>
      <c r="AC124" s="38" t="b">
        <v>0</v>
      </c>
      <c r="AD124" s="38" t="b">
        <v>0</v>
      </c>
      <c r="AE124" s="38" t="b">
        <v>0</v>
      </c>
      <c r="AF124" s="38" t="b">
        <v>0</v>
      </c>
      <c r="AG124" s="38" t="b">
        <v>0</v>
      </c>
      <c r="AH124" s="38" t="b">
        <v>0</v>
      </c>
      <c r="AI124" s="38" t="b">
        <v>0</v>
      </c>
      <c r="AJ124" s="38" t="b">
        <v>0</v>
      </c>
      <c r="AK124" s="38" t="b">
        <v>0</v>
      </c>
      <c r="AL124" s="38" t="b">
        <v>0</v>
      </c>
      <c r="AM124" s="38" t="b">
        <v>0</v>
      </c>
      <c r="AN124" s="38"/>
      <c r="AO124" s="25">
        <f t="shared" si="70"/>
        <v>0</v>
      </c>
      <c r="AQ124" s="25">
        <f>IFERROR(__xludf.DUMMYFUNCTION("if(iserror(match(true,J124:AN124,0)),0,len(index(split(substitute(substitute(join("","",J124:AN124)&amp;"","",""TRUE,"",""x""),""FALSE,"","",""),"",""),,counta(split(substitute(substitute(join("","",J124:AN124)&amp;"","",""TRUE,"",""x""),""FALSE,"","",""),"",""))"&amp;")))"),0.0)</f>
        <v>0</v>
      </c>
      <c r="AR124" s="25" t="str">
        <f>IFERROR(__xludf.DUMMYFUNCTION("arrayformula( if( sum(J124:AN124 + 0), max( len( split( concatenate( left(J124:AN124) ), ""F"" ) ) ), ""0"" ) )"),"0")</f>
        <v>0</v>
      </c>
      <c r="AS124" s="26">
        <v>15.0</v>
      </c>
      <c r="AT124" s="27">
        <f t="shared" si="71"/>
        <v>0</v>
      </c>
    </row>
    <row r="125" hidden="1">
      <c r="A125" s="39"/>
      <c r="B125" s="40"/>
      <c r="C125" s="40"/>
      <c r="D125" s="40"/>
      <c r="E125" s="40"/>
      <c r="F125" s="40"/>
      <c r="G125" s="41"/>
      <c r="H125" s="41"/>
      <c r="I125" s="6"/>
      <c r="J125" s="38" t="b">
        <v>0</v>
      </c>
      <c r="K125" s="38" t="b">
        <v>0</v>
      </c>
      <c r="L125" s="38" t="b">
        <v>0</v>
      </c>
      <c r="M125" s="38" t="b">
        <v>0</v>
      </c>
      <c r="N125" s="38" t="b">
        <v>0</v>
      </c>
      <c r="O125" s="38" t="b">
        <v>0</v>
      </c>
      <c r="P125" s="38" t="b">
        <v>0</v>
      </c>
      <c r="Q125" s="38" t="b">
        <v>0</v>
      </c>
      <c r="R125" s="38" t="b">
        <v>0</v>
      </c>
      <c r="S125" s="38" t="b">
        <v>0</v>
      </c>
      <c r="T125" s="38" t="b">
        <v>0</v>
      </c>
      <c r="U125" s="38" t="b">
        <v>0</v>
      </c>
      <c r="V125" s="38" t="b">
        <v>0</v>
      </c>
      <c r="W125" s="38" t="b">
        <v>0</v>
      </c>
      <c r="X125" s="38" t="b">
        <v>0</v>
      </c>
      <c r="Y125" s="38" t="b">
        <v>0</v>
      </c>
      <c r="Z125" s="38" t="b">
        <v>0</v>
      </c>
      <c r="AA125" s="38" t="b">
        <v>0</v>
      </c>
      <c r="AB125" s="38" t="b">
        <v>0</v>
      </c>
      <c r="AC125" s="38" t="b">
        <v>0</v>
      </c>
      <c r="AD125" s="38" t="b">
        <v>0</v>
      </c>
      <c r="AE125" s="38" t="b">
        <v>0</v>
      </c>
      <c r="AF125" s="38" t="b">
        <v>0</v>
      </c>
      <c r="AG125" s="38" t="b">
        <v>0</v>
      </c>
      <c r="AH125" s="38" t="b">
        <v>0</v>
      </c>
      <c r="AI125" s="38" t="b">
        <v>0</v>
      </c>
      <c r="AJ125" s="38" t="b">
        <v>0</v>
      </c>
      <c r="AK125" s="38" t="b">
        <v>0</v>
      </c>
      <c r="AL125" s="38" t="b">
        <v>0</v>
      </c>
      <c r="AM125" s="38" t="b">
        <v>0</v>
      </c>
      <c r="AN125" s="38"/>
      <c r="AO125" s="25">
        <f t="shared" si="70"/>
        <v>0</v>
      </c>
      <c r="AQ125" s="25">
        <f>IFERROR(__xludf.DUMMYFUNCTION("if(iserror(match(true,J125:AN125,0)),0,len(index(split(substitute(substitute(join("","",J125:AN125)&amp;"","",""TRUE,"",""x""),""FALSE,"","",""),"",""),,counta(split(substitute(substitute(join("","",J125:AN125)&amp;"","",""TRUE,"",""x""),""FALSE,"","",""),"",""))"&amp;")))"),0.0)</f>
        <v>0</v>
      </c>
      <c r="AR125" s="25" t="str">
        <f>IFERROR(__xludf.DUMMYFUNCTION("arrayformula( if( sum(J125:AN125 + 0), max( len( split( concatenate( left(J125:AN125) ), ""F"" ) ) ), ""0"" ) )"),"0")</f>
        <v>0</v>
      </c>
      <c r="AS125" s="26">
        <v>15.0</v>
      </c>
      <c r="AT125" s="27">
        <f t="shared" si="71"/>
        <v>0</v>
      </c>
    </row>
    <row r="126" hidden="1">
      <c r="A126" s="39"/>
      <c r="B126" s="40"/>
      <c r="C126" s="40"/>
      <c r="D126" s="40"/>
      <c r="E126" s="40"/>
      <c r="F126" s="40"/>
      <c r="G126" s="41"/>
      <c r="H126" s="41"/>
      <c r="I126" s="6"/>
      <c r="J126" s="38" t="b">
        <v>0</v>
      </c>
      <c r="K126" s="38" t="b">
        <v>0</v>
      </c>
      <c r="L126" s="38" t="b">
        <v>0</v>
      </c>
      <c r="M126" s="38" t="b">
        <v>0</v>
      </c>
      <c r="N126" s="38" t="b">
        <v>0</v>
      </c>
      <c r="O126" s="38" t="b">
        <v>0</v>
      </c>
      <c r="P126" s="38" t="b">
        <v>0</v>
      </c>
      <c r="Q126" s="38" t="b">
        <v>0</v>
      </c>
      <c r="R126" s="38" t="b">
        <v>0</v>
      </c>
      <c r="S126" s="38" t="b">
        <v>0</v>
      </c>
      <c r="T126" s="38" t="b">
        <v>0</v>
      </c>
      <c r="U126" s="38" t="b">
        <v>0</v>
      </c>
      <c r="V126" s="38" t="b">
        <v>0</v>
      </c>
      <c r="W126" s="38" t="b">
        <v>0</v>
      </c>
      <c r="X126" s="38" t="b">
        <v>0</v>
      </c>
      <c r="Y126" s="38" t="b">
        <v>0</v>
      </c>
      <c r="Z126" s="38" t="b">
        <v>0</v>
      </c>
      <c r="AA126" s="38" t="b">
        <v>0</v>
      </c>
      <c r="AB126" s="38" t="b">
        <v>0</v>
      </c>
      <c r="AC126" s="38" t="b">
        <v>0</v>
      </c>
      <c r="AD126" s="38" t="b">
        <v>0</v>
      </c>
      <c r="AE126" s="38" t="b">
        <v>0</v>
      </c>
      <c r="AF126" s="38" t="b">
        <v>0</v>
      </c>
      <c r="AG126" s="38" t="b">
        <v>0</v>
      </c>
      <c r="AH126" s="38" t="b">
        <v>0</v>
      </c>
      <c r="AI126" s="38" t="b">
        <v>0</v>
      </c>
      <c r="AJ126" s="38" t="b">
        <v>0</v>
      </c>
      <c r="AK126" s="38" t="b">
        <v>0</v>
      </c>
      <c r="AL126" s="38" t="b">
        <v>0</v>
      </c>
      <c r="AM126" s="38" t="b">
        <v>0</v>
      </c>
      <c r="AN126" s="38"/>
      <c r="AO126" s="25">
        <f t="shared" si="70"/>
        <v>0</v>
      </c>
      <c r="AQ126" s="25">
        <f>IFERROR(__xludf.DUMMYFUNCTION("if(iserror(match(true,J126:AN126,0)),0,len(index(split(substitute(substitute(join("","",J126:AN126)&amp;"","",""TRUE,"",""x""),""FALSE,"","",""),"",""),,counta(split(substitute(substitute(join("","",J126:AN126)&amp;"","",""TRUE,"",""x""),""FALSE,"","",""),"",""))"&amp;")))"),0.0)</f>
        <v>0</v>
      </c>
      <c r="AR126" s="25" t="str">
        <f>IFERROR(__xludf.DUMMYFUNCTION("arrayformula( if( sum(J126:AN126 + 0), max( len( split( concatenate( left(J126:AN126) ), ""F"" ) ) ), ""0"" ) )"),"0")</f>
        <v>0</v>
      </c>
      <c r="AS126" s="26">
        <v>15.0</v>
      </c>
      <c r="AT126" s="27">
        <f t="shared" si="71"/>
        <v>0</v>
      </c>
    </row>
    <row r="127" hidden="1">
      <c r="A127" s="39"/>
      <c r="B127" s="40"/>
      <c r="C127" s="40"/>
      <c r="D127" s="40"/>
      <c r="E127" s="40"/>
      <c r="F127" s="40"/>
      <c r="G127" s="41"/>
      <c r="H127" s="41"/>
      <c r="I127" s="6"/>
      <c r="J127" s="38" t="b">
        <v>0</v>
      </c>
      <c r="K127" s="38" t="b">
        <v>0</v>
      </c>
      <c r="L127" s="38" t="b">
        <v>0</v>
      </c>
      <c r="M127" s="38" t="b">
        <v>0</v>
      </c>
      <c r="N127" s="38" t="b">
        <v>0</v>
      </c>
      <c r="O127" s="38" t="b">
        <v>0</v>
      </c>
      <c r="P127" s="38" t="b">
        <v>0</v>
      </c>
      <c r="Q127" s="38" t="b">
        <v>0</v>
      </c>
      <c r="R127" s="38" t="b">
        <v>0</v>
      </c>
      <c r="S127" s="38" t="b">
        <v>0</v>
      </c>
      <c r="T127" s="38" t="b">
        <v>0</v>
      </c>
      <c r="U127" s="38" t="b">
        <v>0</v>
      </c>
      <c r="V127" s="38" t="b">
        <v>0</v>
      </c>
      <c r="W127" s="38" t="b">
        <v>0</v>
      </c>
      <c r="X127" s="38" t="b">
        <v>0</v>
      </c>
      <c r="Y127" s="38" t="b">
        <v>0</v>
      </c>
      <c r="Z127" s="38" t="b">
        <v>0</v>
      </c>
      <c r="AA127" s="38" t="b">
        <v>0</v>
      </c>
      <c r="AB127" s="38" t="b">
        <v>0</v>
      </c>
      <c r="AC127" s="38" t="b">
        <v>0</v>
      </c>
      <c r="AD127" s="38" t="b">
        <v>0</v>
      </c>
      <c r="AE127" s="38" t="b">
        <v>0</v>
      </c>
      <c r="AF127" s="38" t="b">
        <v>0</v>
      </c>
      <c r="AG127" s="38" t="b">
        <v>0</v>
      </c>
      <c r="AH127" s="38" t="b">
        <v>0</v>
      </c>
      <c r="AI127" s="38" t="b">
        <v>0</v>
      </c>
      <c r="AJ127" s="38" t="b">
        <v>0</v>
      </c>
      <c r="AK127" s="38" t="b">
        <v>0</v>
      </c>
      <c r="AL127" s="38" t="b">
        <v>0</v>
      </c>
      <c r="AM127" s="38" t="b">
        <v>0</v>
      </c>
      <c r="AN127" s="38"/>
      <c r="AO127" s="25">
        <f t="shared" si="70"/>
        <v>0</v>
      </c>
      <c r="AQ127" s="25">
        <f>IFERROR(__xludf.DUMMYFUNCTION("if(iserror(match(true,J127:AN127,0)),0,len(index(split(substitute(substitute(join("","",J127:AN127)&amp;"","",""TRUE,"",""x""),""FALSE,"","",""),"",""),,counta(split(substitute(substitute(join("","",J127:AN127)&amp;"","",""TRUE,"",""x""),""FALSE,"","",""),"",""))"&amp;")))"),0.0)</f>
        <v>0</v>
      </c>
      <c r="AR127" s="25" t="str">
        <f>IFERROR(__xludf.DUMMYFUNCTION("arrayformula( if( sum(J127:AN127 + 0), max( len( split( concatenate( left(J127:AN127) ), ""F"" ) ) ), ""0"" ) )"),"0")</f>
        <v>0</v>
      </c>
      <c r="AS127" s="26">
        <v>15.0</v>
      </c>
      <c r="AT127" s="27">
        <f t="shared" si="71"/>
        <v>0</v>
      </c>
    </row>
    <row r="128" hidden="1">
      <c r="A128" s="39"/>
      <c r="B128" s="40"/>
      <c r="C128" s="40"/>
      <c r="D128" s="40"/>
      <c r="E128" s="40"/>
      <c r="F128" s="40"/>
      <c r="G128" s="41"/>
      <c r="H128" s="41"/>
      <c r="I128" s="6"/>
      <c r="J128" s="38" t="b">
        <v>0</v>
      </c>
      <c r="K128" s="38" t="b">
        <v>0</v>
      </c>
      <c r="L128" s="38" t="b">
        <v>0</v>
      </c>
      <c r="M128" s="38" t="b">
        <v>0</v>
      </c>
      <c r="N128" s="38" t="b">
        <v>0</v>
      </c>
      <c r="O128" s="38" t="b">
        <v>0</v>
      </c>
      <c r="P128" s="38" t="b">
        <v>0</v>
      </c>
      <c r="Q128" s="38" t="b">
        <v>0</v>
      </c>
      <c r="R128" s="38" t="b">
        <v>0</v>
      </c>
      <c r="S128" s="38" t="b">
        <v>0</v>
      </c>
      <c r="T128" s="38" t="b">
        <v>0</v>
      </c>
      <c r="U128" s="38" t="b">
        <v>0</v>
      </c>
      <c r="V128" s="38" t="b">
        <v>0</v>
      </c>
      <c r="W128" s="38" t="b">
        <v>0</v>
      </c>
      <c r="X128" s="38" t="b">
        <v>0</v>
      </c>
      <c r="Y128" s="38" t="b">
        <v>0</v>
      </c>
      <c r="Z128" s="38" t="b">
        <v>0</v>
      </c>
      <c r="AA128" s="38" t="b">
        <v>0</v>
      </c>
      <c r="AB128" s="38" t="b">
        <v>0</v>
      </c>
      <c r="AC128" s="38" t="b">
        <v>0</v>
      </c>
      <c r="AD128" s="38" t="b">
        <v>0</v>
      </c>
      <c r="AE128" s="38" t="b">
        <v>0</v>
      </c>
      <c r="AF128" s="38" t="b">
        <v>0</v>
      </c>
      <c r="AG128" s="38" t="b">
        <v>0</v>
      </c>
      <c r="AH128" s="38" t="b">
        <v>0</v>
      </c>
      <c r="AI128" s="38" t="b">
        <v>0</v>
      </c>
      <c r="AJ128" s="38" t="b">
        <v>0</v>
      </c>
      <c r="AK128" s="38" t="b">
        <v>0</v>
      </c>
      <c r="AL128" s="38" t="b">
        <v>0</v>
      </c>
      <c r="AM128" s="38" t="b">
        <v>0</v>
      </c>
      <c r="AN128" s="38"/>
      <c r="AO128" s="25">
        <f t="shared" si="70"/>
        <v>0</v>
      </c>
      <c r="AQ128" s="25">
        <f>IFERROR(__xludf.DUMMYFUNCTION("if(iserror(match(true,J128:AN128,0)),0,len(index(split(substitute(substitute(join("","",J128:AN128)&amp;"","",""TRUE,"",""x""),""FALSE,"","",""),"",""),,counta(split(substitute(substitute(join("","",J128:AN128)&amp;"","",""TRUE,"",""x""),""FALSE,"","",""),"",""))"&amp;")))"),0.0)</f>
        <v>0</v>
      </c>
      <c r="AR128" s="25" t="str">
        <f>IFERROR(__xludf.DUMMYFUNCTION("arrayformula( if( sum(J128:AN128 + 0), max( len( split( concatenate( left(J128:AN128) ), ""F"" ) ) ), ""0"" ) )"),"0")</f>
        <v>0</v>
      </c>
      <c r="AS128" s="26">
        <v>15.0</v>
      </c>
      <c r="AT128" s="27">
        <f t="shared" si="71"/>
        <v>0</v>
      </c>
    </row>
    <row r="129" hidden="1">
      <c r="A129" s="39"/>
      <c r="B129" s="40"/>
      <c r="C129" s="40"/>
      <c r="D129" s="40"/>
      <c r="E129" s="40"/>
      <c r="F129" s="40"/>
      <c r="G129" s="41"/>
      <c r="H129" s="41"/>
      <c r="I129" s="6"/>
      <c r="J129" s="38" t="b">
        <v>0</v>
      </c>
      <c r="K129" s="38" t="b">
        <v>0</v>
      </c>
      <c r="L129" s="38" t="b">
        <v>0</v>
      </c>
      <c r="M129" s="38" t="b">
        <v>0</v>
      </c>
      <c r="N129" s="38" t="b">
        <v>0</v>
      </c>
      <c r="O129" s="38" t="b">
        <v>0</v>
      </c>
      <c r="P129" s="38" t="b">
        <v>0</v>
      </c>
      <c r="Q129" s="38" t="b">
        <v>0</v>
      </c>
      <c r="R129" s="38" t="b">
        <v>0</v>
      </c>
      <c r="S129" s="38" t="b">
        <v>0</v>
      </c>
      <c r="T129" s="38" t="b">
        <v>0</v>
      </c>
      <c r="U129" s="38" t="b">
        <v>0</v>
      </c>
      <c r="V129" s="38" t="b">
        <v>0</v>
      </c>
      <c r="W129" s="38" t="b">
        <v>0</v>
      </c>
      <c r="X129" s="38" t="b">
        <v>0</v>
      </c>
      <c r="Y129" s="38" t="b">
        <v>0</v>
      </c>
      <c r="Z129" s="38" t="b">
        <v>0</v>
      </c>
      <c r="AA129" s="38" t="b">
        <v>0</v>
      </c>
      <c r="AB129" s="38" t="b">
        <v>0</v>
      </c>
      <c r="AC129" s="38" t="b">
        <v>0</v>
      </c>
      <c r="AD129" s="38" t="b">
        <v>0</v>
      </c>
      <c r="AE129" s="38" t="b">
        <v>0</v>
      </c>
      <c r="AF129" s="38" t="b">
        <v>0</v>
      </c>
      <c r="AG129" s="38" t="b">
        <v>0</v>
      </c>
      <c r="AH129" s="38" t="b">
        <v>0</v>
      </c>
      <c r="AI129" s="38" t="b">
        <v>0</v>
      </c>
      <c r="AJ129" s="38" t="b">
        <v>0</v>
      </c>
      <c r="AK129" s="38" t="b">
        <v>0</v>
      </c>
      <c r="AL129" s="38" t="b">
        <v>0</v>
      </c>
      <c r="AM129" s="38" t="b">
        <v>0</v>
      </c>
      <c r="AN129" s="38"/>
      <c r="AO129" s="25">
        <f t="shared" si="70"/>
        <v>0</v>
      </c>
      <c r="AQ129" s="25">
        <f>IFERROR(__xludf.DUMMYFUNCTION("if(iserror(match(true,J129:AN129,0)),0,len(index(split(substitute(substitute(join("","",J129:AN129)&amp;"","",""TRUE,"",""x""),""FALSE,"","",""),"",""),,counta(split(substitute(substitute(join("","",J129:AN129)&amp;"","",""TRUE,"",""x""),""FALSE,"","",""),"",""))"&amp;")))"),0.0)</f>
        <v>0</v>
      </c>
      <c r="AR129" s="25" t="str">
        <f>IFERROR(__xludf.DUMMYFUNCTION("arrayformula( if( sum(J129:AN129 + 0), max( len( split( concatenate( left(J129:AN129) ), ""F"" ) ) ), ""0"" ) )"),"0")</f>
        <v>0</v>
      </c>
      <c r="AS129" s="26">
        <v>15.0</v>
      </c>
      <c r="AT129" s="27">
        <f t="shared" si="71"/>
        <v>0</v>
      </c>
    </row>
    <row r="130" hidden="1">
      <c r="A130" s="39"/>
      <c r="B130" s="40"/>
      <c r="C130" s="40"/>
      <c r="D130" s="40"/>
      <c r="E130" s="40"/>
      <c r="F130" s="40"/>
      <c r="G130" s="41"/>
      <c r="H130" s="41"/>
      <c r="I130" s="6"/>
      <c r="J130" s="38" t="b">
        <v>0</v>
      </c>
      <c r="K130" s="38" t="b">
        <v>0</v>
      </c>
      <c r="L130" s="38" t="b">
        <v>0</v>
      </c>
      <c r="M130" s="38" t="b">
        <v>0</v>
      </c>
      <c r="N130" s="38" t="b">
        <v>0</v>
      </c>
      <c r="O130" s="38" t="b">
        <v>0</v>
      </c>
      <c r="P130" s="38" t="b">
        <v>0</v>
      </c>
      <c r="Q130" s="38" t="b">
        <v>0</v>
      </c>
      <c r="R130" s="38" t="b">
        <v>0</v>
      </c>
      <c r="S130" s="38" t="b">
        <v>0</v>
      </c>
      <c r="T130" s="38" t="b">
        <v>0</v>
      </c>
      <c r="U130" s="38" t="b">
        <v>0</v>
      </c>
      <c r="V130" s="38" t="b">
        <v>0</v>
      </c>
      <c r="W130" s="38" t="b">
        <v>0</v>
      </c>
      <c r="X130" s="38" t="b">
        <v>0</v>
      </c>
      <c r="Y130" s="38" t="b">
        <v>0</v>
      </c>
      <c r="Z130" s="38" t="b">
        <v>0</v>
      </c>
      <c r="AA130" s="38" t="b">
        <v>0</v>
      </c>
      <c r="AB130" s="38" t="b">
        <v>0</v>
      </c>
      <c r="AC130" s="38" t="b">
        <v>0</v>
      </c>
      <c r="AD130" s="38" t="b">
        <v>0</v>
      </c>
      <c r="AE130" s="38" t="b">
        <v>0</v>
      </c>
      <c r="AF130" s="38" t="b">
        <v>0</v>
      </c>
      <c r="AG130" s="38" t="b">
        <v>0</v>
      </c>
      <c r="AH130" s="38" t="b">
        <v>0</v>
      </c>
      <c r="AI130" s="38" t="b">
        <v>0</v>
      </c>
      <c r="AJ130" s="38" t="b">
        <v>0</v>
      </c>
      <c r="AK130" s="38" t="b">
        <v>0</v>
      </c>
      <c r="AL130" s="38" t="b">
        <v>0</v>
      </c>
      <c r="AM130" s="38" t="b">
        <v>0</v>
      </c>
      <c r="AN130" s="38"/>
      <c r="AO130" s="25">
        <f t="shared" si="70"/>
        <v>0</v>
      </c>
      <c r="AQ130" s="25">
        <f>IFERROR(__xludf.DUMMYFUNCTION("if(iserror(match(true,J130:AN130,0)),0,len(index(split(substitute(substitute(join("","",J130:AN130)&amp;"","",""TRUE,"",""x""),""FALSE,"","",""),"",""),,counta(split(substitute(substitute(join("","",J130:AN130)&amp;"","",""TRUE,"",""x""),""FALSE,"","",""),"",""))"&amp;")))"),0.0)</f>
        <v>0</v>
      </c>
      <c r="AR130" s="25" t="str">
        <f>IFERROR(__xludf.DUMMYFUNCTION("arrayformula( if( sum(J130:AN130 + 0), max( len( split( concatenate( left(J130:AN130) ), ""F"" ) ) ), ""0"" ) )"),"0")</f>
        <v>0</v>
      </c>
      <c r="AS130" s="26">
        <v>15.0</v>
      </c>
      <c r="AT130" s="27">
        <f t="shared" si="71"/>
        <v>0</v>
      </c>
    </row>
    <row r="131" hidden="1">
      <c r="A131" s="39"/>
      <c r="B131" s="40"/>
      <c r="C131" s="40"/>
      <c r="D131" s="40"/>
      <c r="E131" s="40"/>
      <c r="F131" s="40"/>
      <c r="G131" s="41"/>
      <c r="H131" s="41"/>
      <c r="I131" s="6"/>
      <c r="J131" s="38" t="b">
        <v>0</v>
      </c>
      <c r="K131" s="38" t="b">
        <v>0</v>
      </c>
      <c r="L131" s="38" t="b">
        <v>0</v>
      </c>
      <c r="M131" s="38" t="b">
        <v>0</v>
      </c>
      <c r="N131" s="38" t="b">
        <v>0</v>
      </c>
      <c r="O131" s="38" t="b">
        <v>0</v>
      </c>
      <c r="P131" s="38" t="b">
        <v>0</v>
      </c>
      <c r="Q131" s="38" t="b">
        <v>0</v>
      </c>
      <c r="R131" s="38" t="b">
        <v>0</v>
      </c>
      <c r="S131" s="38" t="b">
        <v>0</v>
      </c>
      <c r="T131" s="38" t="b">
        <v>0</v>
      </c>
      <c r="U131" s="38" t="b">
        <v>0</v>
      </c>
      <c r="V131" s="38" t="b">
        <v>0</v>
      </c>
      <c r="W131" s="38" t="b">
        <v>0</v>
      </c>
      <c r="X131" s="38" t="b">
        <v>0</v>
      </c>
      <c r="Y131" s="38" t="b">
        <v>0</v>
      </c>
      <c r="Z131" s="38" t="b">
        <v>0</v>
      </c>
      <c r="AA131" s="38" t="b">
        <v>0</v>
      </c>
      <c r="AB131" s="38" t="b">
        <v>0</v>
      </c>
      <c r="AC131" s="38" t="b">
        <v>0</v>
      </c>
      <c r="AD131" s="38" t="b">
        <v>0</v>
      </c>
      <c r="AE131" s="38" t="b">
        <v>0</v>
      </c>
      <c r="AF131" s="38" t="b">
        <v>0</v>
      </c>
      <c r="AG131" s="38" t="b">
        <v>0</v>
      </c>
      <c r="AH131" s="38" t="b">
        <v>0</v>
      </c>
      <c r="AI131" s="38" t="b">
        <v>0</v>
      </c>
      <c r="AJ131" s="38" t="b">
        <v>0</v>
      </c>
      <c r="AK131" s="38" t="b">
        <v>0</v>
      </c>
      <c r="AL131" s="38" t="b">
        <v>0</v>
      </c>
      <c r="AM131" s="38" t="b">
        <v>0</v>
      </c>
      <c r="AN131" s="38"/>
      <c r="AO131" s="25">
        <f t="shared" si="70"/>
        <v>0</v>
      </c>
      <c r="AQ131" s="25">
        <f>IFERROR(__xludf.DUMMYFUNCTION("if(iserror(match(true,J131:AN131,0)),0,len(index(split(substitute(substitute(join("","",J131:AN131)&amp;"","",""TRUE,"",""x""),""FALSE,"","",""),"",""),,counta(split(substitute(substitute(join("","",J131:AN131)&amp;"","",""TRUE,"",""x""),""FALSE,"","",""),"",""))"&amp;")))"),0.0)</f>
        <v>0</v>
      </c>
      <c r="AR131" s="25" t="str">
        <f>IFERROR(__xludf.DUMMYFUNCTION("arrayformula( if( sum(J131:AN131 + 0), max( len( split( concatenate( left(J131:AN131) ), ""F"" ) ) ), ""0"" ) )"),"0")</f>
        <v>0</v>
      </c>
      <c r="AS131" s="26">
        <v>15.0</v>
      </c>
      <c r="AT131" s="27">
        <f t="shared" si="71"/>
        <v>0</v>
      </c>
    </row>
    <row r="132" hidden="1">
      <c r="A132" s="39"/>
      <c r="B132" s="40"/>
      <c r="C132" s="40"/>
      <c r="D132" s="40"/>
      <c r="E132" s="40"/>
      <c r="F132" s="40"/>
      <c r="G132" s="41"/>
      <c r="H132" s="41"/>
      <c r="I132" s="6"/>
      <c r="J132" s="38" t="b">
        <v>0</v>
      </c>
      <c r="K132" s="38" t="b">
        <v>0</v>
      </c>
      <c r="L132" s="38" t="b">
        <v>0</v>
      </c>
      <c r="M132" s="38" t="b">
        <v>0</v>
      </c>
      <c r="N132" s="38" t="b">
        <v>0</v>
      </c>
      <c r="O132" s="38" t="b">
        <v>0</v>
      </c>
      <c r="P132" s="38" t="b">
        <v>0</v>
      </c>
      <c r="Q132" s="38" t="b">
        <v>0</v>
      </c>
      <c r="R132" s="38" t="b">
        <v>0</v>
      </c>
      <c r="S132" s="38" t="b">
        <v>0</v>
      </c>
      <c r="T132" s="38" t="b">
        <v>0</v>
      </c>
      <c r="U132" s="38" t="b">
        <v>0</v>
      </c>
      <c r="V132" s="38" t="b">
        <v>0</v>
      </c>
      <c r="W132" s="38" t="b">
        <v>0</v>
      </c>
      <c r="X132" s="38" t="b">
        <v>0</v>
      </c>
      <c r="Y132" s="38" t="b">
        <v>0</v>
      </c>
      <c r="Z132" s="38" t="b">
        <v>0</v>
      </c>
      <c r="AA132" s="38" t="b">
        <v>0</v>
      </c>
      <c r="AB132" s="38" t="b">
        <v>0</v>
      </c>
      <c r="AC132" s="38" t="b">
        <v>0</v>
      </c>
      <c r="AD132" s="38" t="b">
        <v>0</v>
      </c>
      <c r="AE132" s="38" t="b">
        <v>0</v>
      </c>
      <c r="AF132" s="38" t="b">
        <v>0</v>
      </c>
      <c r="AG132" s="38" t="b">
        <v>0</v>
      </c>
      <c r="AH132" s="38" t="b">
        <v>0</v>
      </c>
      <c r="AI132" s="38" t="b">
        <v>0</v>
      </c>
      <c r="AJ132" s="38" t="b">
        <v>0</v>
      </c>
      <c r="AK132" s="38" t="b">
        <v>0</v>
      </c>
      <c r="AL132" s="38" t="b">
        <v>0</v>
      </c>
      <c r="AM132" s="38" t="b">
        <v>0</v>
      </c>
      <c r="AN132" s="38"/>
      <c r="AO132" s="25">
        <f t="shared" si="70"/>
        <v>0</v>
      </c>
      <c r="AQ132" s="25">
        <f>IFERROR(__xludf.DUMMYFUNCTION("if(iserror(match(true,J132:AN132,0)),0,len(index(split(substitute(substitute(join("","",J132:AN132)&amp;"","",""TRUE,"",""x""),""FALSE,"","",""),"",""),,counta(split(substitute(substitute(join("","",J132:AN132)&amp;"","",""TRUE,"",""x""),""FALSE,"","",""),"",""))"&amp;")))"),0.0)</f>
        <v>0</v>
      </c>
      <c r="AR132" s="25" t="str">
        <f>IFERROR(__xludf.DUMMYFUNCTION("arrayformula( if( sum(J132:AN132 + 0), max( len( split( concatenate( left(J132:AN132) ), ""F"" ) ) ), ""0"" ) )"),"0")</f>
        <v>0</v>
      </c>
      <c r="AS132" s="26">
        <v>15.0</v>
      </c>
      <c r="AT132" s="27">
        <f t="shared" si="71"/>
        <v>0</v>
      </c>
    </row>
    <row r="133" hidden="1">
      <c r="A133" s="39"/>
      <c r="B133" s="40"/>
      <c r="C133" s="40"/>
      <c r="D133" s="40"/>
      <c r="E133" s="40"/>
      <c r="F133" s="40"/>
      <c r="G133" s="41"/>
      <c r="H133" s="41"/>
      <c r="I133" s="6"/>
      <c r="J133" s="38" t="b">
        <v>0</v>
      </c>
      <c r="K133" s="38" t="b">
        <v>0</v>
      </c>
      <c r="L133" s="38" t="b">
        <v>0</v>
      </c>
      <c r="M133" s="38" t="b">
        <v>0</v>
      </c>
      <c r="N133" s="38" t="b">
        <v>0</v>
      </c>
      <c r="O133" s="38" t="b">
        <v>0</v>
      </c>
      <c r="P133" s="38" t="b">
        <v>0</v>
      </c>
      <c r="Q133" s="38" t="b">
        <v>0</v>
      </c>
      <c r="R133" s="38" t="b">
        <v>0</v>
      </c>
      <c r="S133" s="38" t="b">
        <v>0</v>
      </c>
      <c r="T133" s="38" t="b">
        <v>0</v>
      </c>
      <c r="U133" s="38" t="b">
        <v>0</v>
      </c>
      <c r="V133" s="38" t="b">
        <v>0</v>
      </c>
      <c r="W133" s="38" t="b">
        <v>0</v>
      </c>
      <c r="X133" s="38" t="b">
        <v>0</v>
      </c>
      <c r="Y133" s="38" t="b">
        <v>0</v>
      </c>
      <c r="Z133" s="38" t="b">
        <v>0</v>
      </c>
      <c r="AA133" s="38" t="b">
        <v>0</v>
      </c>
      <c r="AB133" s="38" t="b">
        <v>0</v>
      </c>
      <c r="AC133" s="38" t="b">
        <v>0</v>
      </c>
      <c r="AD133" s="38" t="b">
        <v>0</v>
      </c>
      <c r="AE133" s="38" t="b">
        <v>0</v>
      </c>
      <c r="AF133" s="38" t="b">
        <v>0</v>
      </c>
      <c r="AG133" s="38" t="b">
        <v>0</v>
      </c>
      <c r="AH133" s="38" t="b">
        <v>0</v>
      </c>
      <c r="AI133" s="38" t="b">
        <v>0</v>
      </c>
      <c r="AJ133" s="38" t="b">
        <v>0</v>
      </c>
      <c r="AK133" s="38" t="b">
        <v>0</v>
      </c>
      <c r="AL133" s="38" t="b">
        <v>0</v>
      </c>
      <c r="AM133" s="38" t="b">
        <v>0</v>
      </c>
      <c r="AN133" s="38"/>
      <c r="AO133" s="25">
        <f t="shared" si="70"/>
        <v>0</v>
      </c>
      <c r="AQ133" s="25">
        <f>IFERROR(__xludf.DUMMYFUNCTION("if(iserror(match(true,J133:AN133,0)),0,len(index(split(substitute(substitute(join("","",J133:AN133)&amp;"","",""TRUE,"",""x""),""FALSE,"","",""),"",""),,counta(split(substitute(substitute(join("","",J133:AN133)&amp;"","",""TRUE,"",""x""),""FALSE,"","",""),"",""))"&amp;")))"),0.0)</f>
        <v>0</v>
      </c>
      <c r="AR133" s="25" t="str">
        <f>IFERROR(__xludf.DUMMYFUNCTION("arrayformula( if( sum(J133:AN133 + 0), max( len( split( concatenate( left(J133:AN133) ), ""F"" ) ) ), ""0"" ) )"),"0")</f>
        <v>0</v>
      </c>
      <c r="AS133" s="26">
        <v>15.0</v>
      </c>
      <c r="AT133" s="27">
        <f t="shared" si="71"/>
        <v>0</v>
      </c>
    </row>
    <row r="134" hidden="1">
      <c r="A134" s="39"/>
      <c r="B134" s="40"/>
      <c r="C134" s="40"/>
      <c r="D134" s="40"/>
      <c r="E134" s="40"/>
      <c r="F134" s="40"/>
      <c r="G134" s="41"/>
      <c r="H134" s="41"/>
      <c r="I134" s="6"/>
      <c r="J134" s="38" t="b">
        <v>0</v>
      </c>
      <c r="K134" s="38" t="b">
        <v>0</v>
      </c>
      <c r="L134" s="38" t="b">
        <v>0</v>
      </c>
      <c r="M134" s="38" t="b">
        <v>0</v>
      </c>
      <c r="N134" s="38" t="b">
        <v>0</v>
      </c>
      <c r="O134" s="38" t="b">
        <v>0</v>
      </c>
      <c r="P134" s="38" t="b">
        <v>0</v>
      </c>
      <c r="Q134" s="38" t="b">
        <v>0</v>
      </c>
      <c r="R134" s="38" t="b">
        <v>0</v>
      </c>
      <c r="S134" s="38" t="b">
        <v>0</v>
      </c>
      <c r="T134" s="38" t="b">
        <v>0</v>
      </c>
      <c r="U134" s="38" t="b">
        <v>0</v>
      </c>
      <c r="V134" s="38" t="b">
        <v>0</v>
      </c>
      <c r="W134" s="38" t="b">
        <v>0</v>
      </c>
      <c r="X134" s="38" t="b">
        <v>0</v>
      </c>
      <c r="Y134" s="38" t="b">
        <v>0</v>
      </c>
      <c r="Z134" s="38" t="b">
        <v>0</v>
      </c>
      <c r="AA134" s="38" t="b">
        <v>0</v>
      </c>
      <c r="AB134" s="38" t="b">
        <v>0</v>
      </c>
      <c r="AC134" s="38" t="b">
        <v>0</v>
      </c>
      <c r="AD134" s="38" t="b">
        <v>0</v>
      </c>
      <c r="AE134" s="38" t="b">
        <v>0</v>
      </c>
      <c r="AF134" s="38" t="b">
        <v>0</v>
      </c>
      <c r="AG134" s="38" t="b">
        <v>0</v>
      </c>
      <c r="AH134" s="38" t="b">
        <v>0</v>
      </c>
      <c r="AI134" s="38" t="b">
        <v>0</v>
      </c>
      <c r="AJ134" s="38" t="b">
        <v>0</v>
      </c>
      <c r="AK134" s="38" t="b">
        <v>0</v>
      </c>
      <c r="AL134" s="38" t="b">
        <v>0</v>
      </c>
      <c r="AM134" s="38" t="b">
        <v>0</v>
      </c>
      <c r="AN134" s="38"/>
      <c r="AO134" s="25">
        <f t="shared" si="70"/>
        <v>0</v>
      </c>
      <c r="AQ134" s="25">
        <f>IFERROR(__xludf.DUMMYFUNCTION("if(iserror(match(true,J134:AN134,0)),0,len(index(split(substitute(substitute(join("","",J134:AN134)&amp;"","",""TRUE,"",""x""),""FALSE,"","",""),"",""),,counta(split(substitute(substitute(join("","",J134:AN134)&amp;"","",""TRUE,"",""x""),""FALSE,"","",""),"",""))"&amp;")))"),0.0)</f>
        <v>0</v>
      </c>
      <c r="AR134" s="25" t="str">
        <f>IFERROR(__xludf.DUMMYFUNCTION("arrayformula( if( sum(J134:AN134 + 0), max( len( split( concatenate( left(J134:AN134) ), ""F"" ) ) ), ""0"" ) )"),"0")</f>
        <v>0</v>
      </c>
      <c r="AS134" s="26">
        <v>15.0</v>
      </c>
      <c r="AT134" s="27">
        <f t="shared" si="71"/>
        <v>0</v>
      </c>
    </row>
    <row r="135" hidden="1">
      <c r="A135" s="39"/>
      <c r="B135" s="40"/>
      <c r="C135" s="40"/>
      <c r="D135" s="40"/>
      <c r="E135" s="40"/>
      <c r="F135" s="40"/>
      <c r="G135" s="41"/>
      <c r="H135" s="41"/>
      <c r="I135" s="6"/>
      <c r="J135" s="38" t="b">
        <v>0</v>
      </c>
      <c r="K135" s="38" t="b">
        <v>0</v>
      </c>
      <c r="L135" s="38" t="b">
        <v>0</v>
      </c>
      <c r="M135" s="38" t="b">
        <v>0</v>
      </c>
      <c r="N135" s="38" t="b">
        <v>0</v>
      </c>
      <c r="O135" s="38" t="b">
        <v>0</v>
      </c>
      <c r="P135" s="38" t="b">
        <v>0</v>
      </c>
      <c r="Q135" s="38" t="b">
        <v>0</v>
      </c>
      <c r="R135" s="38" t="b">
        <v>0</v>
      </c>
      <c r="S135" s="38" t="b">
        <v>0</v>
      </c>
      <c r="T135" s="38" t="b">
        <v>0</v>
      </c>
      <c r="U135" s="38" t="b">
        <v>0</v>
      </c>
      <c r="V135" s="38" t="b">
        <v>0</v>
      </c>
      <c r="W135" s="38" t="b">
        <v>0</v>
      </c>
      <c r="X135" s="38" t="b">
        <v>0</v>
      </c>
      <c r="Y135" s="38" t="b">
        <v>0</v>
      </c>
      <c r="Z135" s="38" t="b">
        <v>0</v>
      </c>
      <c r="AA135" s="38" t="b">
        <v>0</v>
      </c>
      <c r="AB135" s="38" t="b">
        <v>0</v>
      </c>
      <c r="AC135" s="38" t="b">
        <v>0</v>
      </c>
      <c r="AD135" s="38" t="b">
        <v>0</v>
      </c>
      <c r="AE135" s="38" t="b">
        <v>0</v>
      </c>
      <c r="AF135" s="38" t="b">
        <v>0</v>
      </c>
      <c r="AG135" s="38" t="b">
        <v>0</v>
      </c>
      <c r="AH135" s="38" t="b">
        <v>0</v>
      </c>
      <c r="AI135" s="38" t="b">
        <v>0</v>
      </c>
      <c r="AJ135" s="38" t="b">
        <v>0</v>
      </c>
      <c r="AK135" s="38" t="b">
        <v>0</v>
      </c>
      <c r="AL135" s="38" t="b">
        <v>0</v>
      </c>
      <c r="AM135" s="38" t="b">
        <v>0</v>
      </c>
      <c r="AN135" s="38"/>
      <c r="AO135" s="25">
        <f t="shared" si="70"/>
        <v>0</v>
      </c>
      <c r="AQ135" s="25">
        <f>IFERROR(__xludf.DUMMYFUNCTION("if(iserror(match(true,J135:AN135,0)),0,len(index(split(substitute(substitute(join("","",J135:AN135)&amp;"","",""TRUE,"",""x""),""FALSE,"","",""),"",""),,counta(split(substitute(substitute(join("","",J135:AN135)&amp;"","",""TRUE,"",""x""),""FALSE,"","",""),"",""))"&amp;")))"),0.0)</f>
        <v>0</v>
      </c>
      <c r="AR135" s="25" t="str">
        <f>IFERROR(__xludf.DUMMYFUNCTION("arrayformula( if( sum(J135:AN135 + 0), max( len( split( concatenate( left(J135:AN135) ), ""F"" ) ) ), ""0"" ) )"),"0")</f>
        <v>0</v>
      </c>
      <c r="AS135" s="26">
        <v>15.0</v>
      </c>
      <c r="AT135" s="27">
        <f t="shared" si="71"/>
        <v>0</v>
      </c>
    </row>
    <row r="136" hidden="1">
      <c r="A136" s="39"/>
      <c r="B136" s="40"/>
      <c r="C136" s="40"/>
      <c r="D136" s="40"/>
      <c r="E136" s="40"/>
      <c r="F136" s="40"/>
      <c r="G136" s="41"/>
      <c r="H136" s="41"/>
      <c r="I136" s="6"/>
      <c r="J136" s="38" t="b">
        <v>0</v>
      </c>
      <c r="K136" s="38" t="b">
        <v>0</v>
      </c>
      <c r="L136" s="38" t="b">
        <v>0</v>
      </c>
      <c r="M136" s="38" t="b">
        <v>0</v>
      </c>
      <c r="N136" s="38" t="b">
        <v>0</v>
      </c>
      <c r="O136" s="38" t="b">
        <v>0</v>
      </c>
      <c r="P136" s="38" t="b">
        <v>0</v>
      </c>
      <c r="Q136" s="38" t="b">
        <v>0</v>
      </c>
      <c r="R136" s="38" t="b">
        <v>0</v>
      </c>
      <c r="S136" s="38" t="b">
        <v>0</v>
      </c>
      <c r="T136" s="38" t="b">
        <v>0</v>
      </c>
      <c r="U136" s="38" t="b">
        <v>0</v>
      </c>
      <c r="V136" s="38" t="b">
        <v>0</v>
      </c>
      <c r="W136" s="38" t="b">
        <v>0</v>
      </c>
      <c r="X136" s="38" t="b">
        <v>0</v>
      </c>
      <c r="Y136" s="38" t="b">
        <v>0</v>
      </c>
      <c r="Z136" s="38" t="b">
        <v>0</v>
      </c>
      <c r="AA136" s="38" t="b">
        <v>0</v>
      </c>
      <c r="AB136" s="38" t="b">
        <v>0</v>
      </c>
      <c r="AC136" s="38" t="b">
        <v>0</v>
      </c>
      <c r="AD136" s="38" t="b">
        <v>0</v>
      </c>
      <c r="AE136" s="38" t="b">
        <v>0</v>
      </c>
      <c r="AF136" s="38" t="b">
        <v>0</v>
      </c>
      <c r="AG136" s="38" t="b">
        <v>0</v>
      </c>
      <c r="AH136" s="38" t="b">
        <v>0</v>
      </c>
      <c r="AI136" s="38" t="b">
        <v>0</v>
      </c>
      <c r="AJ136" s="38" t="b">
        <v>0</v>
      </c>
      <c r="AK136" s="38" t="b">
        <v>0</v>
      </c>
      <c r="AL136" s="38" t="b">
        <v>0</v>
      </c>
      <c r="AM136" s="38" t="b">
        <v>0</v>
      </c>
      <c r="AN136" s="38"/>
      <c r="AO136" s="25">
        <f t="shared" si="70"/>
        <v>0</v>
      </c>
      <c r="AQ136" s="25">
        <f>IFERROR(__xludf.DUMMYFUNCTION("if(iserror(match(true,J136:AN136,0)),0,len(index(split(substitute(substitute(join("","",J136:AN136)&amp;"","",""TRUE,"",""x""),""FALSE,"","",""),"",""),,counta(split(substitute(substitute(join("","",J136:AN136)&amp;"","",""TRUE,"",""x""),""FALSE,"","",""),"",""))"&amp;")))"),0.0)</f>
        <v>0</v>
      </c>
      <c r="AR136" s="25" t="str">
        <f>IFERROR(__xludf.DUMMYFUNCTION("arrayformula( if( sum(J136:AN136 + 0), max( len( split( concatenate( left(J136:AN136) ), ""F"" ) ) ), ""0"" ) )"),"0")</f>
        <v>0</v>
      </c>
      <c r="AS136" s="26">
        <v>15.0</v>
      </c>
      <c r="AT136" s="27">
        <f t="shared" si="71"/>
        <v>0</v>
      </c>
    </row>
    <row r="137" hidden="1">
      <c r="A137" s="39"/>
      <c r="B137" s="40"/>
      <c r="C137" s="40"/>
      <c r="D137" s="40"/>
      <c r="E137" s="40"/>
      <c r="F137" s="40"/>
      <c r="G137" s="41"/>
      <c r="H137" s="41"/>
      <c r="I137" s="6"/>
      <c r="J137" s="38" t="b">
        <v>0</v>
      </c>
      <c r="K137" s="38" t="b">
        <v>0</v>
      </c>
      <c r="L137" s="38" t="b">
        <v>0</v>
      </c>
      <c r="M137" s="38" t="b">
        <v>0</v>
      </c>
      <c r="N137" s="38" t="b">
        <v>0</v>
      </c>
      <c r="O137" s="38" t="b">
        <v>0</v>
      </c>
      <c r="P137" s="38" t="b">
        <v>0</v>
      </c>
      <c r="Q137" s="38" t="b">
        <v>0</v>
      </c>
      <c r="R137" s="38" t="b">
        <v>0</v>
      </c>
      <c r="S137" s="38" t="b">
        <v>0</v>
      </c>
      <c r="T137" s="38" t="b">
        <v>0</v>
      </c>
      <c r="U137" s="38" t="b">
        <v>0</v>
      </c>
      <c r="V137" s="38" t="b">
        <v>0</v>
      </c>
      <c r="W137" s="38" t="b">
        <v>0</v>
      </c>
      <c r="X137" s="38" t="b">
        <v>0</v>
      </c>
      <c r="Y137" s="38" t="b">
        <v>0</v>
      </c>
      <c r="Z137" s="38" t="b">
        <v>0</v>
      </c>
      <c r="AA137" s="38" t="b">
        <v>0</v>
      </c>
      <c r="AB137" s="38" t="b">
        <v>0</v>
      </c>
      <c r="AC137" s="38" t="b">
        <v>0</v>
      </c>
      <c r="AD137" s="38" t="b">
        <v>0</v>
      </c>
      <c r="AE137" s="38" t="b">
        <v>0</v>
      </c>
      <c r="AF137" s="38" t="b">
        <v>0</v>
      </c>
      <c r="AG137" s="38" t="b">
        <v>0</v>
      </c>
      <c r="AH137" s="38" t="b">
        <v>0</v>
      </c>
      <c r="AI137" s="38" t="b">
        <v>0</v>
      </c>
      <c r="AJ137" s="38" t="b">
        <v>0</v>
      </c>
      <c r="AK137" s="38" t="b">
        <v>0</v>
      </c>
      <c r="AL137" s="24" t="b">
        <v>0</v>
      </c>
      <c r="AM137" s="38" t="b">
        <v>0</v>
      </c>
      <c r="AN137" s="38"/>
      <c r="AO137" s="25">
        <f t="shared" si="70"/>
        <v>0</v>
      </c>
      <c r="AQ137" s="25">
        <f>IFERROR(__xludf.DUMMYFUNCTION("if(iserror(match(true,J137:AN137,0)),0,len(index(split(substitute(substitute(join("","",J137:AN137)&amp;"","",""TRUE,"",""x""),""FALSE,"","",""),"",""),,counta(split(substitute(substitute(join("","",J137:AN137)&amp;"","",""TRUE,"",""x""),""FALSE,"","",""),"",""))"&amp;")))"),0.0)</f>
        <v>0</v>
      </c>
      <c r="AR137" s="25" t="str">
        <f>IFERROR(__xludf.DUMMYFUNCTION("arrayformula( if( sum(J137:AN137 + 0), max( len( split( concatenate( left(J137:AN137) ), ""F"" ) ) ), ""0"" ) )"),"0")</f>
        <v>0</v>
      </c>
      <c r="AS137" s="26">
        <v>15.0</v>
      </c>
      <c r="AT137" s="27">
        <f t="shared" si="71"/>
        <v>0</v>
      </c>
    </row>
    <row r="138">
      <c r="A138" s="38"/>
      <c r="B138" s="45"/>
      <c r="C138" s="45"/>
      <c r="D138" s="45"/>
      <c r="E138" s="45"/>
      <c r="F138" s="45"/>
      <c r="G138" s="45"/>
      <c r="H138" s="45"/>
      <c r="I138" s="45"/>
      <c r="J138" s="24" t="str">
        <f t="array" ref="J138">IF(COUNTIF(J118:J137, "TRUE") = 1, Setup!$E$4, 
IF(COUNTIF(J118:J137, "TRUE") = 0, Setup!$E$3,
IF(COUNTIF(J118:J137, "TRUE") = 2, Setup!$E$5, 
IF(COUNTIF(J118:J137, "TRUE") = 3, Setup!$E$6, 
IF(COUNTIF(J118:J137, "TRUE") = 4, Setup!$E$7, 
IF(COUNTIF(J118:J137, "TRUE") = 5, Setup!$E$8, 
IF(COUNTIF(J118:J137, "TRUE") &gt;= 6, Setup!$E$9)))
))))</f>
        <v/>
      </c>
      <c r="K138" s="24" t="str">
        <f t="array" ref="K138">IF(COUNTIF(K118:K137, "TRUE") = 1, Setup!$E$4, 
IF(COUNTIF(K118:K137, "TRUE") = 0, Setup!$E$3,
IF(COUNTIF(K118:K137, "TRUE") = 2, Setup!$E$5, 
IF(COUNTIF(K118:K137, "TRUE") = 3, Setup!$E$6, 
IF(COUNTIF(K118:K137, "TRUE") = 4, Setup!$E$7, 
IF(COUNTIF(K118:K137, "TRUE") = 5, Setup!$E$8, 
IF(COUNTIF(K118:K137, "TRUE") &gt;= 6, Setup!$E$9)))
))))</f>
        <v/>
      </c>
      <c r="L138" s="24" t="str">
        <f t="array" ref="L138">IF(COUNTIF(L118:L137, "TRUE") = 1, Setup!$E$4, 
IF(COUNTIF(L118:L137, "TRUE") = 0, Setup!$E$3,
IF(COUNTIF(L118:L137, "TRUE") = 2, Setup!$E$5, 
IF(COUNTIF(L118:L137, "TRUE") = 3, Setup!$E$6, 
IF(COUNTIF(L118:L137, "TRUE") = 4, Setup!$E$7, 
IF(COUNTIF(L118:L137, "TRUE") = 5, Setup!$E$8, 
IF(COUNTIF(L118:L137, "TRUE") &gt;= 6, Setup!$E$9)))
))))</f>
        <v/>
      </c>
      <c r="M138" s="24" t="str">
        <f t="array" ref="M138">IF(COUNTIF(M118:M137, "TRUE") = 1, Setup!$E$4, 
IF(COUNTIF(M118:M137, "TRUE") = 0, Setup!$E$3,
IF(COUNTIF(M118:M137, "TRUE") = 2, Setup!$E$5, 
IF(COUNTIF(M118:M137, "TRUE") = 3, Setup!$E$6, 
IF(COUNTIF(M118:M137, "TRUE") = 4, Setup!$E$7, 
IF(COUNTIF(M118:M137, "TRUE") = 5, Setup!$E$8, 
IF(COUNTIF(M118:M137, "TRUE") &gt;= 6, Setup!$E$9)))
))))</f>
        <v/>
      </c>
      <c r="N138" s="24" t="str">
        <f t="array" ref="N138">IF(COUNTIF(N118:N137, "TRUE") = 1, Setup!$E$4, 
IF(COUNTIF(N118:N137, "TRUE") = 0, Setup!$E$3,
IF(COUNTIF(N118:N137, "TRUE") = 2, Setup!$E$5, 
IF(COUNTIF(N118:N137, "TRUE") = 3, Setup!$E$6, 
IF(COUNTIF(N118:N137, "TRUE") = 4, Setup!$E$7, 
IF(COUNTIF(N118:N137, "TRUE") = 5, Setup!$E$8, 
IF(COUNTIF(N118:N137, "TRUE") &gt;= 6, Setup!$E$9)))
))))</f>
        <v/>
      </c>
      <c r="O138" s="24" t="str">
        <f t="array" ref="O138">IF(COUNTIF(O118:O137, "TRUE") = 1, Setup!$E$4, 
IF(COUNTIF(O118:O137, "TRUE") = 0, Setup!$E$3,
IF(COUNTIF(O118:O137, "TRUE") = 2, Setup!$E$5, 
IF(COUNTIF(O118:O137, "TRUE") = 3, Setup!$E$6, 
IF(COUNTIF(O118:O137, "TRUE") = 4, Setup!$E$7, 
IF(COUNTIF(O118:O137, "TRUE") = 5, Setup!$E$8, 
IF(COUNTIF(O118:O137, "TRUE") &gt;= 6, Setup!$E$9)))
))))</f>
        <v/>
      </c>
      <c r="P138" s="24" t="str">
        <f t="array" ref="P138">IF(COUNTIF(P118:P137, "TRUE") = 1, Setup!$E$4, 
IF(COUNTIF(P118:P137, "TRUE") = 0, Setup!$E$3,
IF(COUNTIF(P118:P137, "TRUE") = 2, Setup!$E$5, 
IF(COUNTIF(P118:P137, "TRUE") = 3, Setup!$E$6, 
IF(COUNTIF(P118:P137, "TRUE") = 4, Setup!$E$7, 
IF(COUNTIF(P118:P137, "TRUE") = 5, Setup!$E$8, 
IF(COUNTIF(P118:P137, "TRUE") &gt;= 6, Setup!$E$9)))
))))</f>
        <v/>
      </c>
      <c r="Q138" s="24" t="str">
        <f t="array" ref="Q138">IF(COUNTIF(Q118:Q137, "TRUE") = 1, Setup!$E$4, 
IF(COUNTIF(Q118:Q137, "TRUE") = 0, Setup!$E$3,
IF(COUNTIF(Q118:Q137, "TRUE") = 2, Setup!$E$5, 
IF(COUNTIF(Q118:Q137, "TRUE") = 3, Setup!$E$6, 
IF(COUNTIF(Q118:Q137, "TRUE") = 4, Setup!$E$7, 
IF(COUNTIF(Q118:Q137, "TRUE") = 5, Setup!$E$8, 
IF(COUNTIF(Q118:Q137, "TRUE") &gt;= 6, Setup!$E$9)))
))))</f>
        <v/>
      </c>
      <c r="R138" s="24" t="str">
        <f t="array" ref="R138">IF(COUNTIF(R118:R137, "TRUE") = 1, Setup!$E$4, 
IF(COUNTIF(R118:R137, "TRUE") = 0, Setup!$E$3,
IF(COUNTIF(R118:R137, "TRUE") = 2, Setup!$E$5, 
IF(COUNTIF(R118:R137, "TRUE") = 3, Setup!$E$6, 
IF(COUNTIF(R118:R137, "TRUE") = 4, Setup!$E$7, 
IF(COUNTIF(R118:R137, "TRUE") = 5, Setup!$E$8, 
IF(COUNTIF(R118:R137, "TRUE") &gt;= 6, Setup!$E$9)))
))))</f>
        <v/>
      </c>
      <c r="S138" s="24" t="str">
        <f t="array" ref="S138">IF(COUNTIF(S118:S137, "TRUE") = 1, Setup!$E$4, 
IF(COUNTIF(S118:S137, "TRUE") = 0, Setup!$E$3,
IF(COUNTIF(S118:S137, "TRUE") = 2, Setup!$E$5, 
IF(COUNTIF(S118:S137, "TRUE") = 3, Setup!$E$6, 
IF(COUNTIF(S118:S137, "TRUE") = 4, Setup!$E$7, 
IF(COUNTIF(S118:S137, "TRUE") = 5, Setup!$E$8, 
IF(COUNTIF(S118:S137, "TRUE") &gt;= 6, Setup!$E$9)))
))))</f>
        <v/>
      </c>
      <c r="T138" s="24" t="str">
        <f t="array" ref="T138">IF(COUNTIF(T118:T137, "TRUE") = 1, Setup!$E$4, 
IF(COUNTIF(T118:T137, "TRUE") = 0, Setup!$E$3,
IF(COUNTIF(T118:T137, "TRUE") = 2, Setup!$E$5, 
IF(COUNTIF(T118:T137, "TRUE") = 3, Setup!$E$6, 
IF(COUNTIF(T118:T137, "TRUE") = 4, Setup!$E$7, 
IF(COUNTIF(T118:T137, "TRUE") = 5, Setup!$E$8, 
IF(COUNTIF(T118:T137, "TRUE") &gt;= 6, Setup!$E$9)))
))))</f>
        <v/>
      </c>
      <c r="U138" s="24" t="str">
        <f t="array" ref="U138">IF(COUNTIF(U118:U137, "TRUE") = 1, Setup!$E$4, 
IF(COUNTIF(U118:U137, "TRUE") = 0, Setup!$E$3,
IF(COUNTIF(U118:U137, "TRUE") = 2, Setup!$E$5, 
IF(COUNTIF(U118:U137, "TRUE") = 3, Setup!$E$6, 
IF(COUNTIF(U118:U137, "TRUE") = 4, Setup!$E$7, 
IF(COUNTIF(U118:U137, "TRUE") = 5, Setup!$E$8, 
IF(COUNTIF(U118:U137, "TRUE") &gt;= 6, Setup!$E$9)))
))))</f>
        <v/>
      </c>
      <c r="V138" s="24" t="str">
        <f t="array" ref="V138">IF(COUNTIF(V118:V137, "TRUE") = 1, Setup!$E$4, 
IF(COUNTIF(V118:V137, "TRUE") = 0, Setup!$E$3,
IF(COUNTIF(V118:V137, "TRUE") = 2, Setup!$E$5, 
IF(COUNTIF(V118:V137, "TRUE") = 3, Setup!$E$6, 
IF(COUNTIF(V118:V137, "TRUE") = 4, Setup!$E$7, 
IF(COUNTIF(V118:V137, "TRUE") = 5, Setup!$E$8, 
IF(COUNTIF(V118:V137, "TRUE") &gt;= 6, Setup!$E$9)))
))))</f>
        <v/>
      </c>
      <c r="W138" s="24" t="str">
        <f t="array" ref="W138">IF(COUNTIF(W118:W137, "TRUE") = 1, Setup!$E$4, 
IF(COUNTIF(W118:W137, "TRUE") = 0, Setup!$E$3,
IF(COUNTIF(W118:W137, "TRUE") = 2, Setup!$E$5, 
IF(COUNTIF(W118:W137, "TRUE") = 3, Setup!$E$6, 
IF(COUNTIF(W118:W137, "TRUE") = 4, Setup!$E$7, 
IF(COUNTIF(W118:W137, "TRUE") = 5, Setup!$E$8, 
IF(COUNTIF(W118:W137, "TRUE") &gt;= 6, Setup!$E$9)))
))))</f>
        <v/>
      </c>
      <c r="X138" s="24" t="str">
        <f t="array" ref="X138">IF(COUNTIF(X118:X137, "TRUE") = 1, Setup!$E$4, 
IF(COUNTIF(X118:X137, "TRUE") = 0, Setup!$E$3,
IF(COUNTIF(X118:X137, "TRUE") = 2, Setup!$E$5, 
IF(COUNTIF(X118:X137, "TRUE") = 3, Setup!$E$6, 
IF(COUNTIF(X118:X137, "TRUE") = 4, Setup!$E$7, 
IF(COUNTIF(X118:X137, "TRUE") = 5, Setup!$E$8, 
IF(COUNTIF(X118:X137, "TRUE") &gt;= 6, Setup!$E$9)))
))))</f>
        <v/>
      </c>
      <c r="Y138" s="24" t="str">
        <f t="array" ref="Y138">IF(COUNTIF(Y118:Y137, "TRUE") = 1, Setup!$E$4, 
IF(COUNTIF(Y118:Y137, "TRUE") = 0, Setup!$E$3,
IF(COUNTIF(Y118:Y137, "TRUE") = 2, Setup!$E$5, 
IF(COUNTIF(Y118:Y137, "TRUE") = 3, Setup!$E$6, 
IF(COUNTIF(Y118:Y137, "TRUE") = 4, Setup!$E$7, 
IF(COUNTIF(Y118:Y137, "TRUE") = 5, Setup!$E$8, 
IF(COUNTIF(Y118:Y137, "TRUE") &gt;= 6, Setup!$E$9)))
))))</f>
        <v/>
      </c>
      <c r="Z138" s="24" t="str">
        <f t="array" ref="Z138">IF(COUNTIF(Z118:Z137, "TRUE") = 1, Setup!$E$4, 
IF(COUNTIF(Z118:Z137, "TRUE") = 0, Setup!$E$3,
IF(COUNTIF(Z118:Z137, "TRUE") = 2, Setup!$E$5, 
IF(COUNTIF(Z118:Z137, "TRUE") = 3, Setup!$E$6, 
IF(COUNTIF(Z118:Z137, "TRUE") = 4, Setup!$E$7, 
IF(COUNTIF(Z118:Z137, "TRUE") = 5, Setup!$E$8, 
IF(COUNTIF(Z118:Z137, "TRUE") &gt;= 6, Setup!$E$9)))
))))</f>
        <v/>
      </c>
      <c r="AA138" s="24" t="str">
        <f t="array" ref="AA138">IF(COUNTIF(AA118:AA137, "TRUE") = 1, Setup!$E$4, 
IF(COUNTIF(AA118:AA137, "TRUE") = 0, Setup!$E$3,
IF(COUNTIF(AA118:AA137, "TRUE") = 2, Setup!$E$5, 
IF(COUNTIF(AA118:AA137, "TRUE") = 3, Setup!$E$6, 
IF(COUNTIF(AA118:AA137, "TRUE") = 4, Setup!$E$7, 
IF(COUNTIF(AA118:AA137, "TRUE") = 5, Setup!$E$8, 
IF(COUNTIF(AA118:AA137, "TRUE") &gt;= 6, Setup!$E$9)))
))))</f>
        <v/>
      </c>
      <c r="AB138" s="24" t="str">
        <f t="array" ref="AB138">IF(COUNTIF(AB118:AB137, "TRUE") = 1, Setup!$E$4, 
IF(COUNTIF(AB118:AB137, "TRUE") = 0, Setup!$E$3,
IF(COUNTIF(AB118:AB137, "TRUE") = 2, Setup!$E$5, 
IF(COUNTIF(AB118:AB137, "TRUE") = 3, Setup!$E$6, 
IF(COUNTIF(AB118:AB137, "TRUE") = 4, Setup!$E$7, 
IF(COUNTIF(AB118:AB137, "TRUE") = 5, Setup!$E$8, 
IF(COUNTIF(AB118:AB137, "TRUE") &gt;= 6, Setup!$E$9)))
))))</f>
        <v/>
      </c>
      <c r="AC138" s="24" t="str">
        <f t="array" ref="AC138">IF(COUNTIF(AC118:AC137, "TRUE") = 1, Setup!$E$4, 
IF(COUNTIF(AC118:AC137, "TRUE") = 0, Setup!$E$3,
IF(COUNTIF(AC118:AC137, "TRUE") = 2, Setup!$E$5, 
IF(COUNTIF(AC118:AC137, "TRUE") = 3, Setup!$E$6, 
IF(COUNTIF(AC118:AC137, "TRUE") = 4, Setup!$E$7, 
IF(COUNTIF(AC118:AC137, "TRUE") = 5, Setup!$E$8, 
IF(COUNTIF(AC118:AC137, "TRUE") &gt;= 6, Setup!$E$9)))
))))</f>
        <v/>
      </c>
      <c r="AD138" s="24" t="str">
        <f t="array" ref="AD138">IF(COUNTIF(AD118:AD137, "TRUE") = 1, Setup!$E$4, 
IF(COUNTIF(AD118:AD137, "TRUE") = 0, Setup!$E$3,
IF(COUNTIF(AD118:AD137, "TRUE") = 2, Setup!$E$5, 
IF(COUNTIF(AD118:AD137, "TRUE") = 3, Setup!$E$6, 
IF(COUNTIF(AD118:AD137, "TRUE") = 4, Setup!$E$7, 
IF(COUNTIF(AD118:AD137, "TRUE") = 5, Setup!$E$8, 
IF(COUNTIF(AD118:AD137, "TRUE") &gt;= 6, Setup!$E$9)))
))))</f>
        <v/>
      </c>
      <c r="AE138" s="24" t="str">
        <f t="array" ref="AE138">IF(COUNTIF(AE118:AE137, "TRUE") = 1, Setup!$E$4, 
IF(COUNTIF(AE118:AE137, "TRUE") = 0, Setup!$E$3,
IF(COUNTIF(AE118:AE137, "TRUE") = 2, Setup!$E$5, 
IF(COUNTIF(AE118:AE137, "TRUE") = 3, Setup!$E$6, 
IF(COUNTIF(AE118:AE137, "TRUE") = 4, Setup!$E$7, 
IF(COUNTIF(AE118:AE137, "TRUE") = 5, Setup!$E$8, 
IF(COUNTIF(AE118:AE137, "TRUE") &gt;= 6, Setup!$E$9)))
))))</f>
        <v/>
      </c>
      <c r="AF138" s="24" t="str">
        <f t="array" ref="AF138">IF(COUNTIF(AF118:AF137, "TRUE") = 1, Setup!$E$4, 
IF(COUNTIF(AF118:AF137, "TRUE") = 0, Setup!$E$3,
IF(COUNTIF(AF118:AF137, "TRUE") = 2, Setup!$E$5, 
IF(COUNTIF(AF118:AF137, "TRUE") = 3, Setup!$E$6, 
IF(COUNTIF(AF118:AF137, "TRUE") = 4, Setup!$E$7, 
IF(COUNTIF(AF118:AF137, "TRUE") = 5, Setup!$E$8, 
IF(COUNTIF(AF118:AF137, "TRUE") &gt;= 6, Setup!$E$9)))
))))</f>
        <v/>
      </c>
      <c r="AG138" s="24" t="str">
        <f t="array" ref="AG138">IF(COUNTIF(AG118:AG137, "TRUE") = 1, Setup!$E$4, 
IF(COUNTIF(AG118:AG137, "TRUE") = 0, Setup!$E$3,
IF(COUNTIF(AG118:AG137, "TRUE") = 2, Setup!$E$5, 
IF(COUNTIF(AG118:AG137, "TRUE") = 3, Setup!$E$6, 
IF(COUNTIF(AG118:AG137, "TRUE") = 4, Setup!$E$7, 
IF(COUNTIF(AG118:AG137, "TRUE") = 5, Setup!$E$8, 
IF(COUNTIF(AG118:AG137, "TRUE") &gt;= 6, Setup!$E$9)))
))))</f>
        <v/>
      </c>
      <c r="AH138" s="24" t="str">
        <f t="array" ref="AH138">IF(COUNTIF(AH118:AH137, "TRUE") = 1, Setup!$E$4, 
IF(COUNTIF(AH118:AH137, "TRUE") = 0, Setup!$E$3,
IF(COUNTIF(AH118:AH137, "TRUE") = 2, Setup!$E$5, 
IF(COUNTIF(AH118:AH137, "TRUE") = 3, Setup!$E$6, 
IF(COUNTIF(AH118:AH137, "TRUE") = 4, Setup!$E$7, 
IF(COUNTIF(AH118:AH137, "TRUE") = 5, Setup!$E$8, 
IF(COUNTIF(AH118:AH137, "TRUE") &gt;= 6, Setup!$E$9)))
))))</f>
        <v/>
      </c>
      <c r="AI138" s="24" t="str">
        <f t="array" ref="AI138">IF(COUNTIF(AI118:AI137, "TRUE") = 1, Setup!$E$4, 
IF(COUNTIF(AI118:AI137, "TRUE") = 0, Setup!$E$3,
IF(COUNTIF(AI118:AI137, "TRUE") = 2, Setup!$E$5, 
IF(COUNTIF(AI118:AI137, "TRUE") = 3, Setup!$E$6, 
IF(COUNTIF(AI118:AI137, "TRUE") = 4, Setup!$E$7, 
IF(COUNTIF(AI118:AI137, "TRUE") = 5, Setup!$E$8, 
IF(COUNTIF(AI118:AI137, "TRUE") &gt;= 6, Setup!$E$9)))
))))</f>
        <v/>
      </c>
      <c r="AJ138" s="24" t="str">
        <f t="array" ref="AJ138">IF(COUNTIF(AJ118:AJ137, "TRUE") = 1, Setup!$E$4, 
IF(COUNTIF(AJ118:AJ137, "TRUE") = 0, Setup!$E$3,
IF(COUNTIF(AJ118:AJ137, "TRUE") = 2, Setup!$E$5, 
IF(COUNTIF(AJ118:AJ137, "TRUE") = 3, Setup!$E$6, 
IF(COUNTIF(AJ118:AJ137, "TRUE") = 4, Setup!$E$7, 
IF(COUNTIF(AJ118:AJ137, "TRUE") = 5, Setup!$E$8, 
IF(COUNTIF(AJ118:AJ137, "TRUE") &gt;= 6, Setup!$E$9)))
))))</f>
        <v/>
      </c>
      <c r="AK138" s="24" t="str">
        <f t="array" ref="AK138">IF(COUNTIF(AK118:AK137, "TRUE") = 1, Setup!$E$4, 
IF(COUNTIF(AK118:AK137, "TRUE") = 0, Setup!$E$3,
IF(COUNTIF(AK118:AK137, "TRUE") = 2, Setup!$E$5, 
IF(COUNTIF(AK118:AK137, "TRUE") = 3, Setup!$E$6, 
IF(COUNTIF(AK118:AK137, "TRUE") = 4, Setup!$E$7, 
IF(COUNTIF(AK118:AK137, "TRUE") = 5, Setup!$E$8, 
IF(COUNTIF(AK118:AK137, "TRUE") &gt;= 6, Setup!$E$9)))
))))</f>
        <v/>
      </c>
      <c r="AL138" s="24" t="str">
        <f t="array" ref="AL138">IF(COUNTIF(AL118:AL137, "TRUE") = 1, Setup!$E$4, 
IF(COUNTIF(AL118:AL137, "TRUE") = 0, Setup!$E$3,
IF(COUNTIF(AL118:AL137, "TRUE") = 2, Setup!$E$5, 
IF(COUNTIF(AL118:AL137, "TRUE") = 3, Setup!$E$6, 
IF(COUNTIF(AL118:AL137, "TRUE") = 4, Setup!$E$7, 
IF(COUNTIF(AL118:AL137, "TRUE") = 5, Setup!$E$8, 
IF(COUNTIF(AL118:AL137, "TRUE") &gt;= 6, Setup!$E$9)))
))))</f>
        <v/>
      </c>
      <c r="AM138" s="24" t="str">
        <f t="array" ref="AM138">IF(COUNTIF(AM118:AM137, "TRUE") = 1, Setup!$E$4, 
IF(COUNTIF(AM118:AM137, "TRUE") = 0, Setup!$E$3,
IF(COUNTIF(AM118:AM137, "TRUE") = 2, Setup!$E$5, 
IF(COUNTIF(AM118:AM137, "TRUE") = 3, Setup!$E$6, 
IF(COUNTIF(AM118:AM137, "TRUE") = 4, Setup!$E$7, 
IF(COUNTIF(AM118:AM137, "TRUE") = 5, Setup!$E$8, 
IF(COUNTIF(AM118:AM137, "TRUE") &gt;= 6, Setup!$E$9)))
))))</f>
        <v/>
      </c>
      <c r="AN138" s="24" t="str">
        <f t="array" ref="AN138">IF(COUNTIF(AN118:AN123, "TRUE") = 1, Setup!$E$4, 
IF(COUNTIF(AN118:AN123, "TRUE") = 0, Setup!$E$3,
IF(COUNTIF(AN118:AN123, "TRUE") = 2, Setup!$E$5, 
IF(COUNTIF(AN118:AN123, "TRUE") = 3, Setup!$E$6, 
IF(COUNTIF(AN118:AN123, "TRUE") = 4, Setup!$E$7, 
IF(COUNTIF(AN118:AN123, "TRUE") = 5, Setup!$E$8, 
IF(COUNTIF(AN118:AN123, "TRUE") = 6, Setup!$E$9)))
))))</f>
        <v/>
      </c>
      <c r="AO138" s="38"/>
      <c r="AQ138" s="38"/>
      <c r="AR138" s="38"/>
      <c r="AS138" s="38"/>
      <c r="AT138" s="38"/>
    </row>
    <row r="139">
      <c r="A139" s="13" t="s">
        <v>50</v>
      </c>
      <c r="B139" s="13" t="s">
        <v>51</v>
      </c>
      <c r="I139" s="15" t="s">
        <v>52</v>
      </c>
      <c r="J139" s="16">
        <f t="array" ref="J139">DATE($D$1, MATCH(I139, {"January","February","March","April","May","June","July","August","September","October","November","December"}, 0), 1)</f>
        <v>46204</v>
      </c>
      <c r="K139" s="16">
        <f t="shared" ref="K139:AN139" si="79">J139+1</f>
        <v>46205</v>
      </c>
      <c r="L139" s="16">
        <f t="shared" si="79"/>
        <v>46206</v>
      </c>
      <c r="M139" s="16">
        <f t="shared" si="79"/>
        <v>46207</v>
      </c>
      <c r="N139" s="16">
        <f t="shared" si="79"/>
        <v>46208</v>
      </c>
      <c r="O139" s="16">
        <f t="shared" si="79"/>
        <v>46209</v>
      </c>
      <c r="P139" s="16">
        <f t="shared" si="79"/>
        <v>46210</v>
      </c>
      <c r="Q139" s="16">
        <f t="shared" si="79"/>
        <v>46211</v>
      </c>
      <c r="R139" s="16">
        <f t="shared" si="79"/>
        <v>46212</v>
      </c>
      <c r="S139" s="16">
        <f t="shared" si="79"/>
        <v>46213</v>
      </c>
      <c r="T139" s="16">
        <f t="shared" si="79"/>
        <v>46214</v>
      </c>
      <c r="U139" s="16">
        <f t="shared" si="79"/>
        <v>46215</v>
      </c>
      <c r="V139" s="16">
        <f t="shared" si="79"/>
        <v>46216</v>
      </c>
      <c r="W139" s="16">
        <f t="shared" si="79"/>
        <v>46217</v>
      </c>
      <c r="X139" s="16">
        <f t="shared" si="79"/>
        <v>46218</v>
      </c>
      <c r="Y139" s="16">
        <f t="shared" si="79"/>
        <v>46219</v>
      </c>
      <c r="Z139" s="16">
        <f t="shared" si="79"/>
        <v>46220</v>
      </c>
      <c r="AA139" s="16">
        <f t="shared" si="79"/>
        <v>46221</v>
      </c>
      <c r="AB139" s="16">
        <f t="shared" si="79"/>
        <v>46222</v>
      </c>
      <c r="AC139" s="16">
        <f t="shared" si="79"/>
        <v>46223</v>
      </c>
      <c r="AD139" s="16">
        <f t="shared" si="79"/>
        <v>46224</v>
      </c>
      <c r="AE139" s="16">
        <f t="shared" si="79"/>
        <v>46225</v>
      </c>
      <c r="AF139" s="16">
        <f t="shared" si="79"/>
        <v>46226</v>
      </c>
      <c r="AG139" s="16">
        <f t="shared" si="79"/>
        <v>46227</v>
      </c>
      <c r="AH139" s="16">
        <f t="shared" si="79"/>
        <v>46228</v>
      </c>
      <c r="AI139" s="16">
        <f t="shared" si="79"/>
        <v>46229</v>
      </c>
      <c r="AJ139" s="16">
        <f t="shared" si="79"/>
        <v>46230</v>
      </c>
      <c r="AK139" s="16">
        <f t="shared" si="79"/>
        <v>46231</v>
      </c>
      <c r="AL139" s="16">
        <f t="shared" si="79"/>
        <v>46232</v>
      </c>
      <c r="AM139" s="16">
        <f t="shared" si="79"/>
        <v>46233</v>
      </c>
      <c r="AN139" s="16">
        <f t="shared" si="79"/>
        <v>46234</v>
      </c>
      <c r="AO139" s="17" t="s">
        <v>28</v>
      </c>
      <c r="AQ139" s="18" t="s">
        <v>29</v>
      </c>
      <c r="AR139" s="18" t="s">
        <v>30</v>
      </c>
      <c r="AS139" s="18" t="s">
        <v>31</v>
      </c>
      <c r="AT139" s="18" t="s">
        <v>32</v>
      </c>
    </row>
    <row r="140" ht="15.0" customHeight="1">
      <c r="A140" s="34"/>
      <c r="B140" s="34"/>
      <c r="I140" s="35"/>
      <c r="J140" s="36">
        <f t="shared" ref="J140:AN140" si="80">J139</f>
        <v>46204</v>
      </c>
      <c r="K140" s="36">
        <f t="shared" si="80"/>
        <v>46205</v>
      </c>
      <c r="L140" s="36">
        <f t="shared" si="80"/>
        <v>46206</v>
      </c>
      <c r="M140" s="36">
        <f t="shared" si="80"/>
        <v>46207</v>
      </c>
      <c r="N140" s="36">
        <f t="shared" si="80"/>
        <v>46208</v>
      </c>
      <c r="O140" s="36">
        <f t="shared" si="80"/>
        <v>46209</v>
      </c>
      <c r="P140" s="36">
        <f t="shared" si="80"/>
        <v>46210</v>
      </c>
      <c r="Q140" s="36">
        <f t="shared" si="80"/>
        <v>46211</v>
      </c>
      <c r="R140" s="36">
        <f t="shared" si="80"/>
        <v>46212</v>
      </c>
      <c r="S140" s="36">
        <f t="shared" si="80"/>
        <v>46213</v>
      </c>
      <c r="T140" s="36">
        <f t="shared" si="80"/>
        <v>46214</v>
      </c>
      <c r="U140" s="36">
        <f t="shared" si="80"/>
        <v>46215</v>
      </c>
      <c r="V140" s="36">
        <f t="shared" si="80"/>
        <v>46216</v>
      </c>
      <c r="W140" s="36">
        <f t="shared" si="80"/>
        <v>46217</v>
      </c>
      <c r="X140" s="36">
        <f t="shared" si="80"/>
        <v>46218</v>
      </c>
      <c r="Y140" s="36">
        <f t="shared" si="80"/>
        <v>46219</v>
      </c>
      <c r="Z140" s="36">
        <f t="shared" si="80"/>
        <v>46220</v>
      </c>
      <c r="AA140" s="36">
        <f t="shared" si="80"/>
        <v>46221</v>
      </c>
      <c r="AB140" s="36">
        <f t="shared" si="80"/>
        <v>46222</v>
      </c>
      <c r="AC140" s="36">
        <f t="shared" si="80"/>
        <v>46223</v>
      </c>
      <c r="AD140" s="36">
        <f t="shared" si="80"/>
        <v>46224</v>
      </c>
      <c r="AE140" s="36">
        <f t="shared" si="80"/>
        <v>46225</v>
      </c>
      <c r="AF140" s="36">
        <f t="shared" si="80"/>
        <v>46226</v>
      </c>
      <c r="AG140" s="36">
        <f t="shared" si="80"/>
        <v>46227</v>
      </c>
      <c r="AH140" s="36">
        <f t="shared" si="80"/>
        <v>46228</v>
      </c>
      <c r="AI140" s="36">
        <f t="shared" si="80"/>
        <v>46229</v>
      </c>
      <c r="AJ140" s="36">
        <f t="shared" si="80"/>
        <v>46230</v>
      </c>
      <c r="AK140" s="36">
        <f t="shared" si="80"/>
        <v>46231</v>
      </c>
      <c r="AL140" s="36">
        <f t="shared" si="80"/>
        <v>46232</v>
      </c>
      <c r="AM140" s="36">
        <f t="shared" si="80"/>
        <v>46233</v>
      </c>
      <c r="AN140" s="36">
        <f t="shared" si="80"/>
        <v>46234</v>
      </c>
    </row>
    <row r="141">
      <c r="A141" s="22"/>
      <c r="B141" s="46" t="str">
        <f t="shared" ref="B141:H141" si="81">IF($E$2="Monday", TEXT(TODAY()-WEEKDAY(TODAY(),2)+COLUMN(B141)-1,"ddd"), TEXT(TODAY()-WEEKDAY(TODAY(),1)+IF(COLUMN(B141)&gt;1,COLUMN(B141)-1,7),"ddd"))
</f>
        <v>Mon</v>
      </c>
      <c r="C141" s="46" t="str">
        <f t="shared" si="81"/>
        <v>Tue</v>
      </c>
      <c r="D141" s="46" t="str">
        <f t="shared" si="81"/>
        <v>Wed</v>
      </c>
      <c r="E141" s="46" t="str">
        <f t="shared" si="81"/>
        <v>Thu</v>
      </c>
      <c r="F141" s="46" t="str">
        <f t="shared" si="81"/>
        <v>Fri</v>
      </c>
      <c r="G141" s="46" t="str">
        <f t="shared" si="81"/>
        <v>Sat</v>
      </c>
      <c r="H141" s="46" t="str">
        <f t="shared" si="81"/>
        <v>Sun</v>
      </c>
      <c r="I141" s="6" t="str">
        <f t="array" ref="I141:I160">Setup!$B$3:$B$22</f>
        <v>🧘🏻‍♀️Yoga</v>
      </c>
      <c r="J141" s="38" t="b">
        <v>0</v>
      </c>
      <c r="K141" s="38" t="b">
        <v>0</v>
      </c>
      <c r="L141" s="38" t="b">
        <v>0</v>
      </c>
      <c r="M141" s="38" t="b">
        <v>0</v>
      </c>
      <c r="N141" s="38" t="b">
        <v>0</v>
      </c>
      <c r="O141" s="38" t="b">
        <v>0</v>
      </c>
      <c r="P141" s="38" t="b">
        <v>0</v>
      </c>
      <c r="Q141" s="38" t="b">
        <v>0</v>
      </c>
      <c r="R141" s="38" t="b">
        <v>0</v>
      </c>
      <c r="S141" s="38" t="b">
        <v>0</v>
      </c>
      <c r="T141" s="38" t="b">
        <v>0</v>
      </c>
      <c r="U141" s="38" t="b">
        <v>0</v>
      </c>
      <c r="V141" s="38" t="b">
        <v>0</v>
      </c>
      <c r="W141" s="38" t="b">
        <v>0</v>
      </c>
      <c r="X141" s="38" t="b">
        <v>0</v>
      </c>
      <c r="Y141" s="38" t="b">
        <v>0</v>
      </c>
      <c r="Z141" s="38" t="b">
        <v>0</v>
      </c>
      <c r="AA141" s="38" t="b">
        <v>0</v>
      </c>
      <c r="AB141" s="38" t="b">
        <v>0</v>
      </c>
      <c r="AC141" s="38" t="b">
        <v>0</v>
      </c>
      <c r="AD141" s="38" t="b">
        <v>0</v>
      </c>
      <c r="AE141" s="38" t="b">
        <v>0</v>
      </c>
      <c r="AF141" s="38" t="b">
        <v>0</v>
      </c>
      <c r="AG141" s="38" t="b">
        <v>0</v>
      </c>
      <c r="AH141" s="38" t="b">
        <v>0</v>
      </c>
      <c r="AI141" s="38" t="b">
        <v>0</v>
      </c>
      <c r="AJ141" s="38" t="b">
        <v>0</v>
      </c>
      <c r="AK141" s="38" t="b">
        <v>0</v>
      </c>
      <c r="AL141" s="38" t="b">
        <v>0</v>
      </c>
      <c r="AM141" s="38" t="b">
        <v>0</v>
      </c>
      <c r="AN141" s="38" t="b">
        <v>0</v>
      </c>
      <c r="AO141" s="25">
        <f t="shared" ref="AO141:AO160" si="83">COUNTIF(J141:AN141, "TRUE")</f>
        <v>0</v>
      </c>
      <c r="AQ141" s="25">
        <f>IFERROR(__xludf.DUMMYFUNCTION("if(iserror(match(true,J141:AN141,0)),0,len(index(split(substitute(substitute(join("","",J141:AN141)&amp;"","",""TRUE,"",""x""),""FALSE,"","",""),"",""),,counta(split(substitute(substitute(join("","",J141:AN141)&amp;"","",""TRUE,"",""x""),""FALSE,"","",""),"",""))"&amp;")))"),0.0)</f>
        <v>0</v>
      </c>
      <c r="AR141" s="25" t="str">
        <f>IFERROR(__xludf.DUMMYFUNCTION("arrayformula( if( sum(J141:AN141 + 0), max( len( split( concatenate( left(J141:AN141) ), ""F"" ) ) ), ""0"" ) )"),"0")</f>
        <v>0</v>
      </c>
      <c r="AS141" s="26">
        <v>15.0</v>
      </c>
      <c r="AT141" s="27">
        <f t="shared" ref="AT141:AT160" si="84">AO141/AS141</f>
        <v>0</v>
      </c>
    </row>
    <row r="142">
      <c r="A142" s="28">
        <f>WEEKNUM(DATE($D$1, MONTH(I139 &amp; 1), 1), 2)
</f>
        <v>27</v>
      </c>
      <c r="B142" s="29">
        <f t="array" ref="B142">IFERROR(DATE($D$1, 1, (A142-1)*7 + 2 - WEEKDAY(DATE($D$1, 1, 1) - MATCH(B141, {"Mon","Tue","Wed","Thu","Fri","Sat","Sun"}, 0))), "")</f>
        <v>46202</v>
      </c>
      <c r="C142" s="30">
        <f t="shared" ref="C142:H142" si="82">B142+1</f>
        <v>46203</v>
      </c>
      <c r="D142" s="30">
        <f t="shared" si="82"/>
        <v>46204</v>
      </c>
      <c r="E142" s="30">
        <f t="shared" si="82"/>
        <v>46205</v>
      </c>
      <c r="F142" s="30">
        <f t="shared" si="82"/>
        <v>46206</v>
      </c>
      <c r="G142" s="30">
        <f t="shared" si="82"/>
        <v>46207</v>
      </c>
      <c r="H142" s="30">
        <f t="shared" si="82"/>
        <v>46208</v>
      </c>
      <c r="I142" s="6" t="s">
        <v>7</v>
      </c>
      <c r="J142" s="38" t="b">
        <v>0</v>
      </c>
      <c r="K142" s="38" t="b">
        <v>0</v>
      </c>
      <c r="L142" s="38" t="b">
        <v>0</v>
      </c>
      <c r="M142" s="38" t="b">
        <v>0</v>
      </c>
      <c r="N142" s="38" t="b">
        <v>0</v>
      </c>
      <c r="O142" s="38" t="b">
        <v>0</v>
      </c>
      <c r="P142" s="38" t="b">
        <v>0</v>
      </c>
      <c r="Q142" s="38" t="b">
        <v>0</v>
      </c>
      <c r="R142" s="38" t="b">
        <v>0</v>
      </c>
      <c r="S142" s="38" t="b">
        <v>0</v>
      </c>
      <c r="T142" s="38" t="b">
        <v>0</v>
      </c>
      <c r="U142" s="38" t="b">
        <v>0</v>
      </c>
      <c r="V142" s="38" t="b">
        <v>0</v>
      </c>
      <c r="W142" s="38" t="b">
        <v>0</v>
      </c>
      <c r="X142" s="38" t="b">
        <v>0</v>
      </c>
      <c r="Y142" s="38" t="b">
        <v>0</v>
      </c>
      <c r="Z142" s="38" t="b">
        <v>0</v>
      </c>
      <c r="AA142" s="38" t="b">
        <v>0</v>
      </c>
      <c r="AB142" s="38" t="b">
        <v>0</v>
      </c>
      <c r="AC142" s="38" t="b">
        <v>0</v>
      </c>
      <c r="AD142" s="38" t="b">
        <v>0</v>
      </c>
      <c r="AE142" s="38" t="b">
        <v>0</v>
      </c>
      <c r="AF142" s="38" t="b">
        <v>0</v>
      </c>
      <c r="AG142" s="38" t="b">
        <v>0</v>
      </c>
      <c r="AH142" s="38" t="b">
        <v>0</v>
      </c>
      <c r="AI142" s="38" t="b">
        <v>0</v>
      </c>
      <c r="AJ142" s="38" t="b">
        <v>0</v>
      </c>
      <c r="AK142" s="38" t="b">
        <v>0</v>
      </c>
      <c r="AL142" s="24" t="b">
        <v>0</v>
      </c>
      <c r="AM142" s="38" t="b">
        <v>0</v>
      </c>
      <c r="AN142" s="38" t="b">
        <v>0</v>
      </c>
      <c r="AO142" s="25">
        <f t="shared" si="83"/>
        <v>0</v>
      </c>
      <c r="AQ142" s="25">
        <f>IFERROR(__xludf.DUMMYFUNCTION("if(iserror(match(true,J142:AN142,0)),0,len(index(split(substitute(substitute(join("","",J142:AN142)&amp;"","",""TRUE,"",""x""),""FALSE,"","",""),"",""),,counta(split(substitute(substitute(join("","",J142:AN142)&amp;"","",""TRUE,"",""x""),""FALSE,"","",""),"",""))"&amp;")))"),0.0)</f>
        <v>0</v>
      </c>
      <c r="AR142" s="25" t="str">
        <f>IFERROR(__xludf.DUMMYFUNCTION("arrayformula( if( sum(J142:AN142 + 0), max( len( split( concatenate( left(J142:AN142) ), ""F"" ) ) ), ""0"" ) )"),"0")</f>
        <v>0</v>
      </c>
      <c r="AS142" s="26">
        <v>20.0</v>
      </c>
      <c r="AT142" s="27">
        <f t="shared" si="84"/>
        <v>0</v>
      </c>
    </row>
    <row r="143">
      <c r="A143" s="31">
        <f t="shared" ref="A143:A147" si="86">A142+1</f>
        <v>28</v>
      </c>
      <c r="B143" s="30">
        <f t="shared" ref="B143:B147" si="87">H142+1</f>
        <v>46209</v>
      </c>
      <c r="C143" s="30">
        <f t="shared" ref="C143:H143" si="85">B143+1</f>
        <v>46210</v>
      </c>
      <c r="D143" s="30">
        <f t="shared" si="85"/>
        <v>46211</v>
      </c>
      <c r="E143" s="30">
        <f t="shared" si="85"/>
        <v>46212</v>
      </c>
      <c r="F143" s="30">
        <f t="shared" si="85"/>
        <v>46213</v>
      </c>
      <c r="G143" s="30">
        <f t="shared" si="85"/>
        <v>46214</v>
      </c>
      <c r="H143" s="30">
        <f t="shared" si="85"/>
        <v>46215</v>
      </c>
      <c r="I143" s="6" t="s">
        <v>11</v>
      </c>
      <c r="J143" s="38" t="b">
        <v>0</v>
      </c>
      <c r="K143" s="38" t="b">
        <v>0</v>
      </c>
      <c r="L143" s="38" t="b">
        <v>0</v>
      </c>
      <c r="M143" s="38" t="b">
        <v>0</v>
      </c>
      <c r="N143" s="38" t="b">
        <v>0</v>
      </c>
      <c r="O143" s="38" t="b">
        <v>0</v>
      </c>
      <c r="P143" s="38" t="b">
        <v>0</v>
      </c>
      <c r="Q143" s="38" t="b">
        <v>0</v>
      </c>
      <c r="R143" s="38" t="b">
        <v>0</v>
      </c>
      <c r="S143" s="38" t="b">
        <v>0</v>
      </c>
      <c r="T143" s="38" t="b">
        <v>0</v>
      </c>
      <c r="U143" s="38" t="b">
        <v>0</v>
      </c>
      <c r="V143" s="38" t="b">
        <v>0</v>
      </c>
      <c r="W143" s="38" t="b">
        <v>0</v>
      </c>
      <c r="X143" s="24" t="b">
        <v>0</v>
      </c>
      <c r="Y143" s="38" t="b">
        <v>0</v>
      </c>
      <c r="Z143" s="38" t="b">
        <v>0</v>
      </c>
      <c r="AA143" s="38" t="b">
        <v>0</v>
      </c>
      <c r="AB143" s="38" t="b">
        <v>0</v>
      </c>
      <c r="AC143" s="38" t="b">
        <v>0</v>
      </c>
      <c r="AD143" s="38" t="b">
        <v>0</v>
      </c>
      <c r="AE143" s="38" t="b">
        <v>0</v>
      </c>
      <c r="AF143" s="38" t="b">
        <v>0</v>
      </c>
      <c r="AG143" s="38" t="b">
        <v>0</v>
      </c>
      <c r="AH143" s="38" t="b">
        <v>0</v>
      </c>
      <c r="AI143" s="38" t="b">
        <v>0</v>
      </c>
      <c r="AJ143" s="38" t="b">
        <v>0</v>
      </c>
      <c r="AK143" s="38" t="b">
        <v>0</v>
      </c>
      <c r="AL143" s="38" t="b">
        <v>0</v>
      </c>
      <c r="AM143" s="38" t="b">
        <v>0</v>
      </c>
      <c r="AN143" s="38" t="b">
        <v>0</v>
      </c>
      <c r="AO143" s="25">
        <f t="shared" si="83"/>
        <v>0</v>
      </c>
      <c r="AQ143" s="25">
        <f>IFERROR(__xludf.DUMMYFUNCTION("if(iserror(match(true,J143:AN143,0)),0,len(index(split(substitute(substitute(join("","",J143:AN143)&amp;"","",""TRUE,"",""x""),""FALSE,"","",""),"",""),,counta(split(substitute(substitute(join("","",J143:AN143)&amp;"","",""TRUE,"",""x""),""FALSE,"","",""),"",""))"&amp;")))"),0.0)</f>
        <v>0</v>
      </c>
      <c r="AR143" s="25" t="str">
        <f>IFERROR(__xludf.DUMMYFUNCTION("arrayformula( if( sum(J143:AN143 + 0), max( len( split( concatenate( left(J143:AN143) ), ""F"" ) ) ), ""0"" ) )"),"0")</f>
        <v>0</v>
      </c>
      <c r="AS143" s="26">
        <v>30.0</v>
      </c>
      <c r="AT143" s="27">
        <f t="shared" si="84"/>
        <v>0</v>
      </c>
    </row>
    <row r="144">
      <c r="A144" s="31">
        <f t="shared" si="86"/>
        <v>29</v>
      </c>
      <c r="B144" s="30">
        <f t="shared" si="87"/>
        <v>46216</v>
      </c>
      <c r="C144" s="30">
        <f t="shared" ref="C144:H144" si="88">B144+1</f>
        <v>46217</v>
      </c>
      <c r="D144" s="30">
        <f t="shared" si="88"/>
        <v>46218</v>
      </c>
      <c r="E144" s="30">
        <f t="shared" si="88"/>
        <v>46219</v>
      </c>
      <c r="F144" s="30">
        <f t="shared" si="88"/>
        <v>46220</v>
      </c>
      <c r="G144" s="30">
        <f t="shared" si="88"/>
        <v>46221</v>
      </c>
      <c r="H144" s="30">
        <f t="shared" si="88"/>
        <v>46222</v>
      </c>
      <c r="I144" s="6" t="s">
        <v>14</v>
      </c>
      <c r="J144" s="38" t="b">
        <v>0</v>
      </c>
      <c r="K144" s="38" t="b">
        <v>0</v>
      </c>
      <c r="L144" s="38" t="b">
        <v>0</v>
      </c>
      <c r="M144" s="38" t="b">
        <v>0</v>
      </c>
      <c r="N144" s="38" t="b">
        <v>0</v>
      </c>
      <c r="O144" s="38" t="b">
        <v>0</v>
      </c>
      <c r="P144" s="38" t="b">
        <v>0</v>
      </c>
      <c r="Q144" s="38" t="b">
        <v>0</v>
      </c>
      <c r="R144" s="38" t="b">
        <v>0</v>
      </c>
      <c r="S144" s="38" t="b">
        <v>0</v>
      </c>
      <c r="T144" s="38" t="b">
        <v>0</v>
      </c>
      <c r="U144" s="38" t="b">
        <v>0</v>
      </c>
      <c r="V144" s="38" t="b">
        <v>0</v>
      </c>
      <c r="W144" s="38" t="b">
        <v>0</v>
      </c>
      <c r="X144" s="24" t="b">
        <v>0</v>
      </c>
      <c r="Y144" s="38" t="b">
        <v>0</v>
      </c>
      <c r="Z144" s="38" t="b">
        <v>0</v>
      </c>
      <c r="AA144" s="38" t="b">
        <v>0</v>
      </c>
      <c r="AB144" s="38" t="b">
        <v>0</v>
      </c>
      <c r="AC144" s="38" t="b">
        <v>0</v>
      </c>
      <c r="AD144" s="38" t="b">
        <v>0</v>
      </c>
      <c r="AE144" s="38" t="b">
        <v>0</v>
      </c>
      <c r="AF144" s="38" t="b">
        <v>0</v>
      </c>
      <c r="AG144" s="38" t="b">
        <v>0</v>
      </c>
      <c r="AH144" s="38" t="b">
        <v>0</v>
      </c>
      <c r="AI144" s="38" t="b">
        <v>0</v>
      </c>
      <c r="AJ144" s="38" t="b">
        <v>0</v>
      </c>
      <c r="AK144" s="38" t="b">
        <v>0</v>
      </c>
      <c r="AL144" s="38" t="b">
        <v>0</v>
      </c>
      <c r="AM144" s="38" t="b">
        <v>0</v>
      </c>
      <c r="AN144" s="38" t="b">
        <v>0</v>
      </c>
      <c r="AO144" s="25">
        <f t="shared" si="83"/>
        <v>0</v>
      </c>
      <c r="AQ144" s="25">
        <f>IFERROR(__xludf.DUMMYFUNCTION("if(iserror(match(true,J144:AN144,0)),0,len(index(split(substitute(substitute(join("","",J144:AN144)&amp;"","",""TRUE,"",""x""),""FALSE,"","",""),"",""),,counta(split(substitute(substitute(join("","",J144:AN144)&amp;"","",""TRUE,"",""x""),""FALSE,"","",""),"",""))"&amp;")))"),0.0)</f>
        <v>0</v>
      </c>
      <c r="AR144" s="25" t="str">
        <f>IFERROR(__xludf.DUMMYFUNCTION("arrayformula( if( sum(J144:AN144 + 0), max( len( split( concatenate( left(J144:AN144) ), ""F"" ) ) ), ""0"" ) )"),"0")</f>
        <v>0</v>
      </c>
      <c r="AS144" s="26">
        <v>20.0</v>
      </c>
      <c r="AT144" s="27">
        <f t="shared" si="84"/>
        <v>0</v>
      </c>
    </row>
    <row r="145">
      <c r="A145" s="31">
        <f t="shared" si="86"/>
        <v>30</v>
      </c>
      <c r="B145" s="30">
        <f t="shared" si="87"/>
        <v>46223</v>
      </c>
      <c r="C145" s="30">
        <f t="shared" ref="C145:H145" si="89">B145+1</f>
        <v>46224</v>
      </c>
      <c r="D145" s="30">
        <f t="shared" si="89"/>
        <v>46225</v>
      </c>
      <c r="E145" s="30">
        <f t="shared" si="89"/>
        <v>46226</v>
      </c>
      <c r="F145" s="30">
        <f t="shared" si="89"/>
        <v>46227</v>
      </c>
      <c r="G145" s="30">
        <f t="shared" si="89"/>
        <v>46228</v>
      </c>
      <c r="H145" s="30">
        <f t="shared" si="89"/>
        <v>46229</v>
      </c>
      <c r="I145" s="6" t="s">
        <v>17</v>
      </c>
      <c r="J145" s="38" t="b">
        <v>0</v>
      </c>
      <c r="K145" s="38" t="b">
        <v>0</v>
      </c>
      <c r="L145" s="38" t="b">
        <v>0</v>
      </c>
      <c r="M145" s="38" t="b">
        <v>0</v>
      </c>
      <c r="N145" s="38" t="b">
        <v>0</v>
      </c>
      <c r="O145" s="38" t="b">
        <v>0</v>
      </c>
      <c r="P145" s="38" t="b">
        <v>0</v>
      </c>
      <c r="Q145" s="38" t="b">
        <v>0</v>
      </c>
      <c r="R145" s="38" t="b">
        <v>0</v>
      </c>
      <c r="S145" s="38" t="b">
        <v>0</v>
      </c>
      <c r="T145" s="38" t="b">
        <v>0</v>
      </c>
      <c r="U145" s="38" t="b">
        <v>0</v>
      </c>
      <c r="V145" s="38" t="b">
        <v>0</v>
      </c>
      <c r="W145" s="38" t="b">
        <v>0</v>
      </c>
      <c r="X145" s="38" t="b">
        <v>0</v>
      </c>
      <c r="Y145" s="38" t="b">
        <v>0</v>
      </c>
      <c r="Z145" s="38" t="b">
        <v>0</v>
      </c>
      <c r="AA145" s="38" t="b">
        <v>0</v>
      </c>
      <c r="AB145" s="38" t="b">
        <v>0</v>
      </c>
      <c r="AC145" s="38" t="b">
        <v>0</v>
      </c>
      <c r="AD145" s="38" t="b">
        <v>0</v>
      </c>
      <c r="AE145" s="38" t="b">
        <v>0</v>
      </c>
      <c r="AF145" s="38" t="b">
        <v>0</v>
      </c>
      <c r="AG145" s="38" t="b">
        <v>0</v>
      </c>
      <c r="AH145" s="38" t="b">
        <v>0</v>
      </c>
      <c r="AI145" s="38" t="b">
        <v>0</v>
      </c>
      <c r="AJ145" s="38" t="b">
        <v>0</v>
      </c>
      <c r="AK145" s="38" t="b">
        <v>0</v>
      </c>
      <c r="AL145" s="38" t="b">
        <v>0</v>
      </c>
      <c r="AM145" s="38" t="b">
        <v>0</v>
      </c>
      <c r="AN145" s="38" t="b">
        <v>0</v>
      </c>
      <c r="AO145" s="25">
        <f t="shared" si="83"/>
        <v>0</v>
      </c>
      <c r="AQ145" s="25">
        <f>IFERROR(__xludf.DUMMYFUNCTION("if(iserror(match(true,J145:AN145,0)),0,len(index(split(substitute(substitute(join("","",J145:AN145)&amp;"","",""TRUE,"",""x""),""FALSE,"","",""),"",""),,counta(split(substitute(substitute(join("","",J145:AN145)&amp;"","",""TRUE,"",""x""),""FALSE,"","",""),"",""))"&amp;")))"),0.0)</f>
        <v>0</v>
      </c>
      <c r="AR145" s="25" t="str">
        <f>IFERROR(__xludf.DUMMYFUNCTION("arrayformula( if( sum(J145:AN145 + 0), max( len( split( concatenate( left(J145:AN145) ), ""F"" ) ) ), ""0"" ) )"),"0")</f>
        <v>0</v>
      </c>
      <c r="AS145" s="26">
        <v>20.0</v>
      </c>
      <c r="AT145" s="27">
        <f t="shared" si="84"/>
        <v>0</v>
      </c>
    </row>
    <row r="146">
      <c r="A146" s="31">
        <f t="shared" si="86"/>
        <v>31</v>
      </c>
      <c r="B146" s="30">
        <f t="shared" si="87"/>
        <v>46230</v>
      </c>
      <c r="C146" s="30">
        <f t="shared" ref="C146:H146" si="90">B146+1</f>
        <v>46231</v>
      </c>
      <c r="D146" s="30">
        <f t="shared" si="90"/>
        <v>46232</v>
      </c>
      <c r="E146" s="30">
        <f t="shared" si="90"/>
        <v>46233</v>
      </c>
      <c r="F146" s="30">
        <f t="shared" si="90"/>
        <v>46234</v>
      </c>
      <c r="G146" s="30">
        <f t="shared" si="90"/>
        <v>46235</v>
      </c>
      <c r="H146" s="30">
        <f t="shared" si="90"/>
        <v>46236</v>
      </c>
      <c r="I146" s="6" t="s">
        <v>20</v>
      </c>
      <c r="J146" s="38" t="b">
        <v>0</v>
      </c>
      <c r="K146" s="38" t="b">
        <v>0</v>
      </c>
      <c r="L146" s="38" t="b">
        <v>0</v>
      </c>
      <c r="M146" s="38" t="b">
        <v>0</v>
      </c>
      <c r="N146" s="38" t="b">
        <v>0</v>
      </c>
      <c r="O146" s="38" t="b">
        <v>0</v>
      </c>
      <c r="P146" s="38" t="b">
        <v>0</v>
      </c>
      <c r="Q146" s="38" t="b">
        <v>0</v>
      </c>
      <c r="R146" s="38" t="b">
        <v>0</v>
      </c>
      <c r="S146" s="38" t="b">
        <v>0</v>
      </c>
      <c r="T146" s="38" t="b">
        <v>0</v>
      </c>
      <c r="U146" s="38" t="b">
        <v>0</v>
      </c>
      <c r="V146" s="38" t="b">
        <v>0</v>
      </c>
      <c r="W146" s="38" t="b">
        <v>0</v>
      </c>
      <c r="X146" s="24" t="b">
        <v>0</v>
      </c>
      <c r="Y146" s="38" t="b">
        <v>0</v>
      </c>
      <c r="Z146" s="38" t="b">
        <v>0</v>
      </c>
      <c r="AA146" s="38" t="b">
        <v>0</v>
      </c>
      <c r="AB146" s="38" t="b">
        <v>0</v>
      </c>
      <c r="AC146" s="38" t="b">
        <v>0</v>
      </c>
      <c r="AD146" s="38" t="b">
        <v>0</v>
      </c>
      <c r="AE146" s="38" t="b">
        <v>0</v>
      </c>
      <c r="AF146" s="38" t="b">
        <v>0</v>
      </c>
      <c r="AG146" s="38" t="b">
        <v>0</v>
      </c>
      <c r="AH146" s="38" t="b">
        <v>0</v>
      </c>
      <c r="AI146" s="38" t="b">
        <v>0</v>
      </c>
      <c r="AJ146" s="38" t="b">
        <v>0</v>
      </c>
      <c r="AK146" s="38" t="b">
        <v>0</v>
      </c>
      <c r="AL146" s="38" t="b">
        <v>0</v>
      </c>
      <c r="AM146" s="38" t="b">
        <v>0</v>
      </c>
      <c r="AN146" s="24" t="b">
        <v>0</v>
      </c>
      <c r="AO146" s="25">
        <f t="shared" si="83"/>
        <v>0</v>
      </c>
      <c r="AQ146" s="25">
        <f>IFERROR(__xludf.DUMMYFUNCTION("if(iserror(match(true,J146:AN146,0)),0,len(index(split(substitute(substitute(join("","",J146:AN146)&amp;"","",""TRUE,"",""x""),""FALSE,"","",""),"",""),,counta(split(substitute(substitute(join("","",J146:AN146)&amp;"","",""TRUE,"",""x""),""FALSE,"","",""),"",""))"&amp;")))"),0.0)</f>
        <v>0</v>
      </c>
      <c r="AR146" s="25" t="str">
        <f>IFERROR(__xludf.DUMMYFUNCTION("arrayformula( if( sum(J146:AN146 + 0), max( len( split( concatenate( left(J146:AN146) ), ""F"" ) ) ), ""0"" ) )"),"0")</f>
        <v>0</v>
      </c>
      <c r="AS146" s="26">
        <v>15.0</v>
      </c>
      <c r="AT146" s="27">
        <f t="shared" si="84"/>
        <v>0</v>
      </c>
    </row>
    <row r="147">
      <c r="A147" s="31">
        <f t="shared" si="86"/>
        <v>32</v>
      </c>
      <c r="B147" s="30">
        <f t="shared" si="87"/>
        <v>46237</v>
      </c>
      <c r="C147" s="30">
        <f t="shared" ref="C147:H147" si="91">B147+1</f>
        <v>46238</v>
      </c>
      <c r="D147" s="30">
        <f t="shared" si="91"/>
        <v>46239</v>
      </c>
      <c r="E147" s="30">
        <f t="shared" si="91"/>
        <v>46240</v>
      </c>
      <c r="F147" s="30">
        <f t="shared" si="91"/>
        <v>46241</v>
      </c>
      <c r="G147" s="30">
        <f t="shared" si="91"/>
        <v>46242</v>
      </c>
      <c r="H147" s="30">
        <f t="shared" si="91"/>
        <v>46243</v>
      </c>
      <c r="I147" s="6"/>
      <c r="J147" s="38" t="b">
        <v>0</v>
      </c>
      <c r="K147" s="24" t="b">
        <v>0</v>
      </c>
      <c r="L147" s="38" t="b">
        <v>0</v>
      </c>
      <c r="M147" s="38" t="b">
        <v>0</v>
      </c>
      <c r="N147" s="38" t="b">
        <v>0</v>
      </c>
      <c r="O147" s="38" t="b">
        <v>0</v>
      </c>
      <c r="P147" s="38" t="b">
        <v>0</v>
      </c>
      <c r="Q147" s="38" t="b">
        <v>0</v>
      </c>
      <c r="R147" s="38" t="b">
        <v>0</v>
      </c>
      <c r="S147" s="38" t="b">
        <v>0</v>
      </c>
      <c r="T147" s="38" t="b">
        <v>0</v>
      </c>
      <c r="U147" s="38" t="b">
        <v>0</v>
      </c>
      <c r="V147" s="38" t="b">
        <v>0</v>
      </c>
      <c r="W147" s="38" t="b">
        <v>0</v>
      </c>
      <c r="X147" s="24" t="b">
        <v>0</v>
      </c>
      <c r="Y147" s="38" t="b">
        <v>0</v>
      </c>
      <c r="Z147" s="38" t="b">
        <v>0</v>
      </c>
      <c r="AA147" s="38" t="b">
        <v>0</v>
      </c>
      <c r="AB147" s="38" t="b">
        <v>0</v>
      </c>
      <c r="AC147" s="38" t="b">
        <v>0</v>
      </c>
      <c r="AD147" s="38" t="b">
        <v>0</v>
      </c>
      <c r="AE147" s="38" t="b">
        <v>0</v>
      </c>
      <c r="AF147" s="38" t="b">
        <v>0</v>
      </c>
      <c r="AG147" s="38" t="b">
        <v>0</v>
      </c>
      <c r="AH147" s="38" t="b">
        <v>0</v>
      </c>
      <c r="AI147" s="38" t="b">
        <v>0</v>
      </c>
      <c r="AJ147" s="38" t="b">
        <v>0</v>
      </c>
      <c r="AK147" s="38" t="b">
        <v>0</v>
      </c>
      <c r="AL147" s="38" t="b">
        <v>0</v>
      </c>
      <c r="AM147" s="38" t="b">
        <v>0</v>
      </c>
      <c r="AN147" s="24" t="b">
        <v>0</v>
      </c>
      <c r="AO147" s="25">
        <f t="shared" si="83"/>
        <v>0</v>
      </c>
      <c r="AQ147" s="25">
        <f>IFERROR(__xludf.DUMMYFUNCTION("if(iserror(match(true,J147:AN147,0)),0,len(index(split(substitute(substitute(join("","",J147:AN147)&amp;"","",""TRUE,"",""x""),""FALSE,"","",""),"",""),,counta(split(substitute(substitute(join("","",J147:AN147)&amp;"","",""TRUE,"",""x""),""FALSE,"","",""),"",""))"&amp;")))"),0.0)</f>
        <v>0</v>
      </c>
      <c r="AR147" s="25" t="str">
        <f>IFERROR(__xludf.DUMMYFUNCTION("arrayformula( if( sum(J147:AN147 + 0), max( len( split( concatenate( left(J147:AN147) ), ""F"" ) ) ), ""0"" ) )"),"0")</f>
        <v>0</v>
      </c>
      <c r="AS147" s="26">
        <v>15.0</v>
      </c>
      <c r="AT147" s="27">
        <f t="shared" si="84"/>
        <v>0</v>
      </c>
    </row>
    <row r="148" hidden="1">
      <c r="A148" s="39"/>
      <c r="B148" s="40"/>
      <c r="C148" s="41"/>
      <c r="D148" s="41"/>
      <c r="E148" s="41"/>
      <c r="F148" s="41"/>
      <c r="G148" s="41"/>
      <c r="H148" s="41"/>
      <c r="I148" s="6"/>
      <c r="J148" s="38" t="b">
        <v>0</v>
      </c>
      <c r="K148" s="38" t="b">
        <v>0</v>
      </c>
      <c r="L148" s="38" t="b">
        <v>0</v>
      </c>
      <c r="M148" s="38" t="b">
        <v>0</v>
      </c>
      <c r="N148" s="38" t="b">
        <v>0</v>
      </c>
      <c r="O148" s="38" t="b">
        <v>0</v>
      </c>
      <c r="P148" s="38" t="b">
        <v>0</v>
      </c>
      <c r="Q148" s="38" t="b">
        <v>0</v>
      </c>
      <c r="R148" s="38" t="b">
        <v>0</v>
      </c>
      <c r="S148" s="38" t="b">
        <v>0</v>
      </c>
      <c r="T148" s="38" t="b">
        <v>0</v>
      </c>
      <c r="U148" s="38" t="b">
        <v>0</v>
      </c>
      <c r="V148" s="38" t="b">
        <v>0</v>
      </c>
      <c r="W148" s="38" t="b">
        <v>0</v>
      </c>
      <c r="X148" s="24" t="b">
        <v>0</v>
      </c>
      <c r="Y148" s="38" t="b">
        <v>0</v>
      </c>
      <c r="Z148" s="38" t="b">
        <v>0</v>
      </c>
      <c r="AA148" s="38" t="b">
        <v>0</v>
      </c>
      <c r="AB148" s="38" t="b">
        <v>0</v>
      </c>
      <c r="AC148" s="38" t="b">
        <v>0</v>
      </c>
      <c r="AD148" s="38" t="b">
        <v>0</v>
      </c>
      <c r="AE148" s="38" t="b">
        <v>0</v>
      </c>
      <c r="AF148" s="38" t="b">
        <v>0</v>
      </c>
      <c r="AG148" s="38" t="b">
        <v>0</v>
      </c>
      <c r="AH148" s="38" t="b">
        <v>0</v>
      </c>
      <c r="AI148" s="38" t="b">
        <v>0</v>
      </c>
      <c r="AJ148" s="38" t="b">
        <v>0</v>
      </c>
      <c r="AK148" s="38" t="b">
        <v>0</v>
      </c>
      <c r="AL148" s="38" t="b">
        <v>0</v>
      </c>
      <c r="AM148" s="38" t="b">
        <v>0</v>
      </c>
      <c r="AN148" s="24" t="b">
        <v>0</v>
      </c>
      <c r="AO148" s="25">
        <f t="shared" si="83"/>
        <v>0</v>
      </c>
      <c r="AQ148" s="25">
        <f>IFERROR(__xludf.DUMMYFUNCTION("if(iserror(match(true,J148:AN148,0)),0,len(index(split(substitute(substitute(join("","",J148:AN148)&amp;"","",""TRUE,"",""x""),""FALSE,"","",""),"",""),,counta(split(substitute(substitute(join("","",J148:AN148)&amp;"","",""TRUE,"",""x""),""FALSE,"","",""),"",""))"&amp;")))"),0.0)</f>
        <v>0</v>
      </c>
      <c r="AR148" s="25" t="str">
        <f>IFERROR(__xludf.DUMMYFUNCTION("arrayformula( if( sum(J148:AN148 + 0), max( len( split( concatenate( left(J148:AN148) ), ""F"" ) ) ), ""0"" ) )"),"0")</f>
        <v>0</v>
      </c>
      <c r="AS148" s="26">
        <v>15.0</v>
      </c>
      <c r="AT148" s="27">
        <f t="shared" si="84"/>
        <v>0</v>
      </c>
    </row>
    <row r="149" hidden="1">
      <c r="A149" s="39"/>
      <c r="B149" s="40"/>
      <c r="C149" s="41"/>
      <c r="D149" s="41"/>
      <c r="E149" s="41"/>
      <c r="F149" s="41"/>
      <c r="G149" s="41"/>
      <c r="H149" s="41"/>
      <c r="I149" s="6"/>
      <c r="J149" s="38" t="b">
        <v>0</v>
      </c>
      <c r="K149" s="38" t="b">
        <v>0</v>
      </c>
      <c r="L149" s="38" t="b">
        <v>0</v>
      </c>
      <c r="M149" s="38" t="b">
        <v>0</v>
      </c>
      <c r="N149" s="38" t="b">
        <v>0</v>
      </c>
      <c r="O149" s="38" t="b">
        <v>0</v>
      </c>
      <c r="P149" s="38" t="b">
        <v>0</v>
      </c>
      <c r="Q149" s="38" t="b">
        <v>0</v>
      </c>
      <c r="R149" s="38" t="b">
        <v>0</v>
      </c>
      <c r="S149" s="38" t="b">
        <v>0</v>
      </c>
      <c r="T149" s="38" t="b">
        <v>0</v>
      </c>
      <c r="U149" s="38" t="b">
        <v>0</v>
      </c>
      <c r="V149" s="38" t="b">
        <v>0</v>
      </c>
      <c r="W149" s="38" t="b">
        <v>0</v>
      </c>
      <c r="X149" s="24" t="b">
        <v>0</v>
      </c>
      <c r="Y149" s="38" t="b">
        <v>0</v>
      </c>
      <c r="Z149" s="38" t="b">
        <v>0</v>
      </c>
      <c r="AA149" s="38" t="b">
        <v>0</v>
      </c>
      <c r="AB149" s="38" t="b">
        <v>0</v>
      </c>
      <c r="AC149" s="38" t="b">
        <v>0</v>
      </c>
      <c r="AD149" s="38" t="b">
        <v>0</v>
      </c>
      <c r="AE149" s="38" t="b">
        <v>0</v>
      </c>
      <c r="AF149" s="38" t="b">
        <v>0</v>
      </c>
      <c r="AG149" s="38" t="b">
        <v>0</v>
      </c>
      <c r="AH149" s="38" t="b">
        <v>0</v>
      </c>
      <c r="AI149" s="38" t="b">
        <v>0</v>
      </c>
      <c r="AJ149" s="38" t="b">
        <v>0</v>
      </c>
      <c r="AK149" s="38" t="b">
        <v>0</v>
      </c>
      <c r="AL149" s="38" t="b">
        <v>0</v>
      </c>
      <c r="AM149" s="38" t="b">
        <v>0</v>
      </c>
      <c r="AN149" s="24" t="b">
        <v>0</v>
      </c>
      <c r="AO149" s="25">
        <f t="shared" si="83"/>
        <v>0</v>
      </c>
      <c r="AQ149" s="25">
        <f>IFERROR(__xludf.DUMMYFUNCTION("if(iserror(match(true,J149:AN149,0)),0,len(index(split(substitute(substitute(join("","",J149:AN149)&amp;"","",""TRUE,"",""x""),""FALSE,"","",""),"",""),,counta(split(substitute(substitute(join("","",J149:AN149)&amp;"","",""TRUE,"",""x""),""FALSE,"","",""),"",""))"&amp;")))"),0.0)</f>
        <v>0</v>
      </c>
      <c r="AR149" s="25" t="str">
        <f>IFERROR(__xludf.DUMMYFUNCTION("arrayformula( if( sum(J149:AN149 + 0), max( len( split( concatenate( left(J149:AN149) ), ""F"" ) ) ), ""0"" ) )"),"0")</f>
        <v>0</v>
      </c>
      <c r="AS149" s="26">
        <v>15.0</v>
      </c>
      <c r="AT149" s="27">
        <f t="shared" si="84"/>
        <v>0</v>
      </c>
    </row>
    <row r="150" hidden="1">
      <c r="A150" s="39"/>
      <c r="B150" s="40"/>
      <c r="C150" s="41"/>
      <c r="D150" s="41"/>
      <c r="E150" s="41"/>
      <c r="F150" s="41"/>
      <c r="G150" s="41"/>
      <c r="H150" s="41"/>
      <c r="I150" s="6"/>
      <c r="J150" s="38" t="b">
        <v>0</v>
      </c>
      <c r="K150" s="38" t="b">
        <v>0</v>
      </c>
      <c r="L150" s="38" t="b">
        <v>0</v>
      </c>
      <c r="M150" s="38" t="b">
        <v>0</v>
      </c>
      <c r="N150" s="38" t="b">
        <v>0</v>
      </c>
      <c r="O150" s="38" t="b">
        <v>0</v>
      </c>
      <c r="P150" s="38" t="b">
        <v>0</v>
      </c>
      <c r="Q150" s="38" t="b">
        <v>0</v>
      </c>
      <c r="R150" s="38" t="b">
        <v>0</v>
      </c>
      <c r="S150" s="38" t="b">
        <v>0</v>
      </c>
      <c r="T150" s="38" t="b">
        <v>0</v>
      </c>
      <c r="U150" s="38" t="b">
        <v>0</v>
      </c>
      <c r="V150" s="38" t="b">
        <v>0</v>
      </c>
      <c r="W150" s="38" t="b">
        <v>0</v>
      </c>
      <c r="X150" s="24" t="b">
        <v>0</v>
      </c>
      <c r="Y150" s="38" t="b">
        <v>0</v>
      </c>
      <c r="Z150" s="38" t="b">
        <v>0</v>
      </c>
      <c r="AA150" s="38" t="b">
        <v>0</v>
      </c>
      <c r="AB150" s="38" t="b">
        <v>0</v>
      </c>
      <c r="AC150" s="38" t="b">
        <v>0</v>
      </c>
      <c r="AD150" s="38" t="b">
        <v>0</v>
      </c>
      <c r="AE150" s="38" t="b">
        <v>0</v>
      </c>
      <c r="AF150" s="38" t="b">
        <v>0</v>
      </c>
      <c r="AG150" s="38" t="b">
        <v>0</v>
      </c>
      <c r="AH150" s="38" t="b">
        <v>0</v>
      </c>
      <c r="AI150" s="38" t="b">
        <v>0</v>
      </c>
      <c r="AJ150" s="38" t="b">
        <v>0</v>
      </c>
      <c r="AK150" s="38" t="b">
        <v>0</v>
      </c>
      <c r="AL150" s="38" t="b">
        <v>0</v>
      </c>
      <c r="AM150" s="38" t="b">
        <v>0</v>
      </c>
      <c r="AN150" s="24" t="b">
        <v>0</v>
      </c>
      <c r="AO150" s="25">
        <f t="shared" si="83"/>
        <v>0</v>
      </c>
      <c r="AQ150" s="25">
        <f>IFERROR(__xludf.DUMMYFUNCTION("if(iserror(match(true,J150:AN150,0)),0,len(index(split(substitute(substitute(join("","",J150:AN150)&amp;"","",""TRUE,"",""x""),""FALSE,"","",""),"",""),,counta(split(substitute(substitute(join("","",J150:AN150)&amp;"","",""TRUE,"",""x""),""FALSE,"","",""),"",""))"&amp;")))"),0.0)</f>
        <v>0</v>
      </c>
      <c r="AR150" s="25" t="str">
        <f>IFERROR(__xludf.DUMMYFUNCTION("arrayformula( if( sum(J150:AN150 + 0), max( len( split( concatenate( left(J150:AN150) ), ""F"" ) ) ), ""0"" ) )"),"0")</f>
        <v>0</v>
      </c>
      <c r="AS150" s="26">
        <v>15.0</v>
      </c>
      <c r="AT150" s="27">
        <f t="shared" si="84"/>
        <v>0</v>
      </c>
    </row>
    <row r="151" hidden="1">
      <c r="A151" s="39"/>
      <c r="B151" s="40"/>
      <c r="C151" s="41"/>
      <c r="D151" s="41"/>
      <c r="E151" s="41"/>
      <c r="F151" s="41"/>
      <c r="G151" s="41"/>
      <c r="H151" s="41"/>
      <c r="I151" s="6"/>
      <c r="J151" s="38" t="b">
        <v>0</v>
      </c>
      <c r="K151" s="38" t="b">
        <v>0</v>
      </c>
      <c r="L151" s="38" t="b">
        <v>0</v>
      </c>
      <c r="M151" s="38" t="b">
        <v>0</v>
      </c>
      <c r="N151" s="38" t="b">
        <v>0</v>
      </c>
      <c r="O151" s="38" t="b">
        <v>0</v>
      </c>
      <c r="P151" s="38" t="b">
        <v>0</v>
      </c>
      <c r="Q151" s="38" t="b">
        <v>0</v>
      </c>
      <c r="R151" s="38" t="b">
        <v>0</v>
      </c>
      <c r="S151" s="38" t="b">
        <v>0</v>
      </c>
      <c r="T151" s="38" t="b">
        <v>0</v>
      </c>
      <c r="U151" s="38" t="b">
        <v>0</v>
      </c>
      <c r="V151" s="38" t="b">
        <v>0</v>
      </c>
      <c r="W151" s="38" t="b">
        <v>0</v>
      </c>
      <c r="X151" s="24" t="b">
        <v>0</v>
      </c>
      <c r="Y151" s="38" t="b">
        <v>0</v>
      </c>
      <c r="Z151" s="38" t="b">
        <v>0</v>
      </c>
      <c r="AA151" s="38" t="b">
        <v>0</v>
      </c>
      <c r="AB151" s="38" t="b">
        <v>0</v>
      </c>
      <c r="AC151" s="38" t="b">
        <v>0</v>
      </c>
      <c r="AD151" s="38" t="b">
        <v>0</v>
      </c>
      <c r="AE151" s="38" t="b">
        <v>0</v>
      </c>
      <c r="AF151" s="38" t="b">
        <v>0</v>
      </c>
      <c r="AG151" s="38" t="b">
        <v>0</v>
      </c>
      <c r="AH151" s="38" t="b">
        <v>0</v>
      </c>
      <c r="AI151" s="38" t="b">
        <v>0</v>
      </c>
      <c r="AJ151" s="38" t="b">
        <v>0</v>
      </c>
      <c r="AK151" s="38" t="b">
        <v>0</v>
      </c>
      <c r="AL151" s="38" t="b">
        <v>0</v>
      </c>
      <c r="AM151" s="38" t="b">
        <v>0</v>
      </c>
      <c r="AN151" s="24" t="b">
        <v>0</v>
      </c>
      <c r="AO151" s="25">
        <f t="shared" si="83"/>
        <v>0</v>
      </c>
      <c r="AQ151" s="25">
        <f>IFERROR(__xludf.DUMMYFUNCTION("if(iserror(match(true,J151:AN151,0)),0,len(index(split(substitute(substitute(join("","",J151:AN151)&amp;"","",""TRUE,"",""x""),""FALSE,"","",""),"",""),,counta(split(substitute(substitute(join("","",J151:AN151)&amp;"","",""TRUE,"",""x""),""FALSE,"","",""),"",""))"&amp;")))"),0.0)</f>
        <v>0</v>
      </c>
      <c r="AR151" s="25" t="str">
        <f>IFERROR(__xludf.DUMMYFUNCTION("arrayformula( if( sum(J151:AN151 + 0), max( len( split( concatenate( left(J151:AN151) ), ""F"" ) ) ), ""0"" ) )"),"0")</f>
        <v>0</v>
      </c>
      <c r="AS151" s="26">
        <v>15.0</v>
      </c>
      <c r="AT151" s="27">
        <f t="shared" si="84"/>
        <v>0</v>
      </c>
    </row>
    <row r="152" hidden="1">
      <c r="A152" s="39"/>
      <c r="B152" s="40"/>
      <c r="C152" s="41"/>
      <c r="D152" s="41"/>
      <c r="E152" s="41"/>
      <c r="F152" s="41"/>
      <c r="G152" s="41"/>
      <c r="H152" s="41"/>
      <c r="I152" s="6"/>
      <c r="J152" s="38" t="b">
        <v>0</v>
      </c>
      <c r="K152" s="38" t="b">
        <v>0</v>
      </c>
      <c r="L152" s="38" t="b">
        <v>0</v>
      </c>
      <c r="M152" s="38" t="b">
        <v>0</v>
      </c>
      <c r="N152" s="38" t="b">
        <v>0</v>
      </c>
      <c r="O152" s="38" t="b">
        <v>0</v>
      </c>
      <c r="P152" s="38" t="b">
        <v>0</v>
      </c>
      <c r="Q152" s="38" t="b">
        <v>0</v>
      </c>
      <c r="R152" s="38" t="b">
        <v>0</v>
      </c>
      <c r="S152" s="38" t="b">
        <v>0</v>
      </c>
      <c r="T152" s="38" t="b">
        <v>0</v>
      </c>
      <c r="U152" s="38" t="b">
        <v>0</v>
      </c>
      <c r="V152" s="38" t="b">
        <v>0</v>
      </c>
      <c r="W152" s="38" t="b">
        <v>0</v>
      </c>
      <c r="X152" s="24" t="b">
        <v>0</v>
      </c>
      <c r="Y152" s="38" t="b">
        <v>0</v>
      </c>
      <c r="Z152" s="38" t="b">
        <v>0</v>
      </c>
      <c r="AA152" s="38" t="b">
        <v>0</v>
      </c>
      <c r="AB152" s="38" t="b">
        <v>0</v>
      </c>
      <c r="AC152" s="38" t="b">
        <v>0</v>
      </c>
      <c r="AD152" s="38" t="b">
        <v>0</v>
      </c>
      <c r="AE152" s="38" t="b">
        <v>0</v>
      </c>
      <c r="AF152" s="38" t="b">
        <v>0</v>
      </c>
      <c r="AG152" s="38" t="b">
        <v>0</v>
      </c>
      <c r="AH152" s="38" t="b">
        <v>0</v>
      </c>
      <c r="AI152" s="38" t="b">
        <v>0</v>
      </c>
      <c r="AJ152" s="38" t="b">
        <v>0</v>
      </c>
      <c r="AK152" s="38" t="b">
        <v>0</v>
      </c>
      <c r="AL152" s="38" t="b">
        <v>0</v>
      </c>
      <c r="AM152" s="38" t="b">
        <v>0</v>
      </c>
      <c r="AN152" s="24" t="b">
        <v>0</v>
      </c>
      <c r="AO152" s="25">
        <f t="shared" si="83"/>
        <v>0</v>
      </c>
      <c r="AQ152" s="25">
        <f>IFERROR(__xludf.DUMMYFUNCTION("if(iserror(match(true,J152:AN152,0)),0,len(index(split(substitute(substitute(join("","",J152:AN152)&amp;"","",""TRUE,"",""x""),""FALSE,"","",""),"",""),,counta(split(substitute(substitute(join("","",J152:AN152)&amp;"","",""TRUE,"",""x""),""FALSE,"","",""),"",""))"&amp;")))"),0.0)</f>
        <v>0</v>
      </c>
      <c r="AR152" s="25" t="str">
        <f>IFERROR(__xludf.DUMMYFUNCTION("arrayformula( if( sum(J152:AN152 + 0), max( len( split( concatenate( left(J152:AN152) ), ""F"" ) ) ), ""0"" ) )"),"0")</f>
        <v>0</v>
      </c>
      <c r="AS152" s="26">
        <v>15.0</v>
      </c>
      <c r="AT152" s="27">
        <f t="shared" si="84"/>
        <v>0</v>
      </c>
    </row>
    <row r="153" hidden="1">
      <c r="A153" s="39"/>
      <c r="B153" s="40"/>
      <c r="C153" s="41"/>
      <c r="D153" s="41"/>
      <c r="E153" s="41"/>
      <c r="F153" s="41"/>
      <c r="G153" s="41"/>
      <c r="H153" s="41"/>
      <c r="I153" s="6"/>
      <c r="J153" s="38" t="b">
        <v>0</v>
      </c>
      <c r="K153" s="38" t="b">
        <v>0</v>
      </c>
      <c r="L153" s="38" t="b">
        <v>0</v>
      </c>
      <c r="M153" s="38" t="b">
        <v>0</v>
      </c>
      <c r="N153" s="38" t="b">
        <v>0</v>
      </c>
      <c r="O153" s="38" t="b">
        <v>0</v>
      </c>
      <c r="P153" s="38" t="b">
        <v>0</v>
      </c>
      <c r="Q153" s="38" t="b">
        <v>0</v>
      </c>
      <c r="R153" s="38" t="b">
        <v>0</v>
      </c>
      <c r="S153" s="38" t="b">
        <v>0</v>
      </c>
      <c r="T153" s="38" t="b">
        <v>0</v>
      </c>
      <c r="U153" s="38" t="b">
        <v>0</v>
      </c>
      <c r="V153" s="38" t="b">
        <v>0</v>
      </c>
      <c r="W153" s="38" t="b">
        <v>0</v>
      </c>
      <c r="X153" s="24" t="b">
        <v>0</v>
      </c>
      <c r="Y153" s="38" t="b">
        <v>0</v>
      </c>
      <c r="Z153" s="38" t="b">
        <v>0</v>
      </c>
      <c r="AA153" s="38" t="b">
        <v>0</v>
      </c>
      <c r="AB153" s="38" t="b">
        <v>0</v>
      </c>
      <c r="AC153" s="38" t="b">
        <v>0</v>
      </c>
      <c r="AD153" s="38" t="b">
        <v>0</v>
      </c>
      <c r="AE153" s="38" t="b">
        <v>0</v>
      </c>
      <c r="AF153" s="38" t="b">
        <v>0</v>
      </c>
      <c r="AG153" s="38" t="b">
        <v>0</v>
      </c>
      <c r="AH153" s="38" t="b">
        <v>0</v>
      </c>
      <c r="AI153" s="38" t="b">
        <v>0</v>
      </c>
      <c r="AJ153" s="38" t="b">
        <v>0</v>
      </c>
      <c r="AK153" s="38" t="b">
        <v>0</v>
      </c>
      <c r="AL153" s="38" t="b">
        <v>0</v>
      </c>
      <c r="AM153" s="38" t="b">
        <v>0</v>
      </c>
      <c r="AN153" s="24" t="b">
        <v>0</v>
      </c>
      <c r="AO153" s="25">
        <f t="shared" si="83"/>
        <v>0</v>
      </c>
      <c r="AQ153" s="25">
        <f>IFERROR(__xludf.DUMMYFUNCTION("if(iserror(match(true,J153:AN153,0)),0,len(index(split(substitute(substitute(join("","",J153:AN153)&amp;"","",""TRUE,"",""x""),""FALSE,"","",""),"",""),,counta(split(substitute(substitute(join("","",J153:AN153)&amp;"","",""TRUE,"",""x""),""FALSE,"","",""),"",""))"&amp;")))"),0.0)</f>
        <v>0</v>
      </c>
      <c r="AR153" s="25" t="str">
        <f>IFERROR(__xludf.DUMMYFUNCTION("arrayformula( if( sum(J153:AN153 + 0), max( len( split( concatenate( left(J153:AN153) ), ""F"" ) ) ), ""0"" ) )"),"0")</f>
        <v>0</v>
      </c>
      <c r="AS153" s="26">
        <v>15.0</v>
      </c>
      <c r="AT153" s="27">
        <f t="shared" si="84"/>
        <v>0</v>
      </c>
    </row>
    <row r="154" hidden="1">
      <c r="A154" s="39"/>
      <c r="B154" s="40"/>
      <c r="C154" s="41"/>
      <c r="D154" s="41"/>
      <c r="E154" s="41"/>
      <c r="F154" s="41"/>
      <c r="G154" s="41"/>
      <c r="H154" s="41"/>
      <c r="I154" s="6"/>
      <c r="J154" s="38" t="b">
        <v>0</v>
      </c>
      <c r="K154" s="38" t="b">
        <v>0</v>
      </c>
      <c r="L154" s="38" t="b">
        <v>0</v>
      </c>
      <c r="M154" s="38" t="b">
        <v>0</v>
      </c>
      <c r="N154" s="38" t="b">
        <v>0</v>
      </c>
      <c r="O154" s="38" t="b">
        <v>0</v>
      </c>
      <c r="P154" s="38" t="b">
        <v>0</v>
      </c>
      <c r="Q154" s="38" t="b">
        <v>0</v>
      </c>
      <c r="R154" s="38" t="b">
        <v>0</v>
      </c>
      <c r="S154" s="38" t="b">
        <v>0</v>
      </c>
      <c r="T154" s="38" t="b">
        <v>0</v>
      </c>
      <c r="U154" s="38" t="b">
        <v>0</v>
      </c>
      <c r="V154" s="38" t="b">
        <v>0</v>
      </c>
      <c r="W154" s="38" t="b">
        <v>0</v>
      </c>
      <c r="X154" s="24" t="b">
        <v>0</v>
      </c>
      <c r="Y154" s="38" t="b">
        <v>0</v>
      </c>
      <c r="Z154" s="38" t="b">
        <v>0</v>
      </c>
      <c r="AA154" s="38" t="b">
        <v>0</v>
      </c>
      <c r="AB154" s="38" t="b">
        <v>0</v>
      </c>
      <c r="AC154" s="38" t="b">
        <v>0</v>
      </c>
      <c r="AD154" s="38" t="b">
        <v>0</v>
      </c>
      <c r="AE154" s="38" t="b">
        <v>0</v>
      </c>
      <c r="AF154" s="38" t="b">
        <v>0</v>
      </c>
      <c r="AG154" s="38" t="b">
        <v>0</v>
      </c>
      <c r="AH154" s="38" t="b">
        <v>0</v>
      </c>
      <c r="AI154" s="38" t="b">
        <v>0</v>
      </c>
      <c r="AJ154" s="38" t="b">
        <v>0</v>
      </c>
      <c r="AK154" s="38" t="b">
        <v>0</v>
      </c>
      <c r="AL154" s="38" t="b">
        <v>0</v>
      </c>
      <c r="AM154" s="38" t="b">
        <v>0</v>
      </c>
      <c r="AN154" s="24" t="b">
        <v>0</v>
      </c>
      <c r="AO154" s="25">
        <f t="shared" si="83"/>
        <v>0</v>
      </c>
      <c r="AQ154" s="25">
        <f>IFERROR(__xludf.DUMMYFUNCTION("if(iserror(match(true,J154:AN154,0)),0,len(index(split(substitute(substitute(join("","",J154:AN154)&amp;"","",""TRUE,"",""x""),""FALSE,"","",""),"",""),,counta(split(substitute(substitute(join("","",J154:AN154)&amp;"","",""TRUE,"",""x""),""FALSE,"","",""),"",""))"&amp;")))"),0.0)</f>
        <v>0</v>
      </c>
      <c r="AR154" s="25" t="str">
        <f>IFERROR(__xludf.DUMMYFUNCTION("arrayformula( if( sum(J154:AN154 + 0), max( len( split( concatenate( left(J154:AN154) ), ""F"" ) ) ), ""0"" ) )"),"0")</f>
        <v>0</v>
      </c>
      <c r="AS154" s="26">
        <v>15.0</v>
      </c>
      <c r="AT154" s="27">
        <f t="shared" si="84"/>
        <v>0</v>
      </c>
    </row>
    <row r="155" hidden="1">
      <c r="A155" s="39"/>
      <c r="B155" s="40"/>
      <c r="C155" s="41"/>
      <c r="D155" s="41"/>
      <c r="E155" s="41"/>
      <c r="F155" s="41"/>
      <c r="G155" s="41"/>
      <c r="H155" s="41"/>
      <c r="I155" s="6"/>
      <c r="J155" s="38" t="b">
        <v>0</v>
      </c>
      <c r="K155" s="38" t="b">
        <v>0</v>
      </c>
      <c r="L155" s="38" t="b">
        <v>0</v>
      </c>
      <c r="M155" s="38" t="b">
        <v>0</v>
      </c>
      <c r="N155" s="38" t="b">
        <v>0</v>
      </c>
      <c r="O155" s="38" t="b">
        <v>0</v>
      </c>
      <c r="P155" s="38" t="b">
        <v>0</v>
      </c>
      <c r="Q155" s="38" t="b">
        <v>0</v>
      </c>
      <c r="R155" s="38" t="b">
        <v>0</v>
      </c>
      <c r="S155" s="38" t="b">
        <v>0</v>
      </c>
      <c r="T155" s="38" t="b">
        <v>0</v>
      </c>
      <c r="U155" s="38" t="b">
        <v>0</v>
      </c>
      <c r="V155" s="38" t="b">
        <v>0</v>
      </c>
      <c r="W155" s="38" t="b">
        <v>0</v>
      </c>
      <c r="X155" s="24" t="b">
        <v>0</v>
      </c>
      <c r="Y155" s="38" t="b">
        <v>0</v>
      </c>
      <c r="Z155" s="38" t="b">
        <v>0</v>
      </c>
      <c r="AA155" s="38" t="b">
        <v>0</v>
      </c>
      <c r="AB155" s="38" t="b">
        <v>0</v>
      </c>
      <c r="AC155" s="38" t="b">
        <v>0</v>
      </c>
      <c r="AD155" s="38" t="b">
        <v>0</v>
      </c>
      <c r="AE155" s="38" t="b">
        <v>0</v>
      </c>
      <c r="AF155" s="38" t="b">
        <v>0</v>
      </c>
      <c r="AG155" s="38" t="b">
        <v>0</v>
      </c>
      <c r="AH155" s="38" t="b">
        <v>0</v>
      </c>
      <c r="AI155" s="38" t="b">
        <v>0</v>
      </c>
      <c r="AJ155" s="38" t="b">
        <v>0</v>
      </c>
      <c r="AK155" s="38" t="b">
        <v>0</v>
      </c>
      <c r="AL155" s="38" t="b">
        <v>0</v>
      </c>
      <c r="AM155" s="38" t="b">
        <v>0</v>
      </c>
      <c r="AN155" s="24" t="b">
        <v>0</v>
      </c>
      <c r="AO155" s="25">
        <f t="shared" si="83"/>
        <v>0</v>
      </c>
      <c r="AQ155" s="25">
        <f>IFERROR(__xludf.DUMMYFUNCTION("if(iserror(match(true,J155:AN155,0)),0,len(index(split(substitute(substitute(join("","",J155:AN155)&amp;"","",""TRUE,"",""x""),""FALSE,"","",""),"",""),,counta(split(substitute(substitute(join("","",J155:AN155)&amp;"","",""TRUE,"",""x""),""FALSE,"","",""),"",""))"&amp;")))"),0.0)</f>
        <v>0</v>
      </c>
      <c r="AR155" s="25" t="str">
        <f>IFERROR(__xludf.DUMMYFUNCTION("arrayformula( if( sum(J155:AN155 + 0), max( len( split( concatenate( left(J155:AN155) ), ""F"" ) ) ), ""0"" ) )"),"0")</f>
        <v>0</v>
      </c>
      <c r="AS155" s="26">
        <v>15.0</v>
      </c>
      <c r="AT155" s="27">
        <f t="shared" si="84"/>
        <v>0</v>
      </c>
    </row>
    <row r="156" hidden="1">
      <c r="A156" s="39"/>
      <c r="B156" s="40"/>
      <c r="C156" s="41"/>
      <c r="D156" s="41"/>
      <c r="E156" s="41"/>
      <c r="F156" s="41"/>
      <c r="G156" s="41"/>
      <c r="H156" s="41"/>
      <c r="I156" s="6"/>
      <c r="J156" s="38" t="b">
        <v>0</v>
      </c>
      <c r="K156" s="38" t="b">
        <v>0</v>
      </c>
      <c r="L156" s="38" t="b">
        <v>0</v>
      </c>
      <c r="M156" s="38" t="b">
        <v>0</v>
      </c>
      <c r="N156" s="38" t="b">
        <v>0</v>
      </c>
      <c r="O156" s="38" t="b">
        <v>0</v>
      </c>
      <c r="P156" s="38" t="b">
        <v>0</v>
      </c>
      <c r="Q156" s="38" t="b">
        <v>0</v>
      </c>
      <c r="R156" s="38" t="b">
        <v>0</v>
      </c>
      <c r="S156" s="38" t="b">
        <v>0</v>
      </c>
      <c r="T156" s="38" t="b">
        <v>0</v>
      </c>
      <c r="U156" s="38" t="b">
        <v>0</v>
      </c>
      <c r="V156" s="38" t="b">
        <v>0</v>
      </c>
      <c r="W156" s="38" t="b">
        <v>0</v>
      </c>
      <c r="X156" s="24" t="b">
        <v>0</v>
      </c>
      <c r="Y156" s="38" t="b">
        <v>0</v>
      </c>
      <c r="Z156" s="38" t="b">
        <v>0</v>
      </c>
      <c r="AA156" s="38" t="b">
        <v>0</v>
      </c>
      <c r="AB156" s="38" t="b">
        <v>0</v>
      </c>
      <c r="AC156" s="38" t="b">
        <v>0</v>
      </c>
      <c r="AD156" s="38" t="b">
        <v>0</v>
      </c>
      <c r="AE156" s="38" t="b">
        <v>0</v>
      </c>
      <c r="AF156" s="38" t="b">
        <v>0</v>
      </c>
      <c r="AG156" s="38" t="b">
        <v>0</v>
      </c>
      <c r="AH156" s="38" t="b">
        <v>0</v>
      </c>
      <c r="AI156" s="38" t="b">
        <v>0</v>
      </c>
      <c r="AJ156" s="38" t="b">
        <v>0</v>
      </c>
      <c r="AK156" s="38" t="b">
        <v>0</v>
      </c>
      <c r="AL156" s="38" t="b">
        <v>0</v>
      </c>
      <c r="AM156" s="38" t="b">
        <v>0</v>
      </c>
      <c r="AN156" s="24" t="b">
        <v>0</v>
      </c>
      <c r="AO156" s="25">
        <f t="shared" si="83"/>
        <v>0</v>
      </c>
      <c r="AQ156" s="25">
        <f>IFERROR(__xludf.DUMMYFUNCTION("if(iserror(match(true,J156:AN156,0)),0,len(index(split(substitute(substitute(join("","",J156:AN156)&amp;"","",""TRUE,"",""x""),""FALSE,"","",""),"",""),,counta(split(substitute(substitute(join("","",J156:AN156)&amp;"","",""TRUE,"",""x""),""FALSE,"","",""),"",""))"&amp;")))"),0.0)</f>
        <v>0</v>
      </c>
      <c r="AR156" s="25" t="str">
        <f>IFERROR(__xludf.DUMMYFUNCTION("arrayformula( if( sum(J156:AN156 + 0), max( len( split( concatenate( left(J156:AN156) ), ""F"" ) ) ), ""0"" ) )"),"0")</f>
        <v>0</v>
      </c>
      <c r="AS156" s="26">
        <v>15.0</v>
      </c>
      <c r="AT156" s="27">
        <f t="shared" si="84"/>
        <v>0</v>
      </c>
    </row>
    <row r="157" hidden="1">
      <c r="A157" s="39"/>
      <c r="B157" s="40"/>
      <c r="C157" s="41"/>
      <c r="D157" s="41"/>
      <c r="E157" s="41"/>
      <c r="F157" s="41"/>
      <c r="G157" s="41"/>
      <c r="H157" s="41"/>
      <c r="I157" s="6"/>
      <c r="J157" s="38" t="b">
        <v>0</v>
      </c>
      <c r="K157" s="38" t="b">
        <v>0</v>
      </c>
      <c r="L157" s="38" t="b">
        <v>0</v>
      </c>
      <c r="M157" s="38" t="b">
        <v>0</v>
      </c>
      <c r="N157" s="38" t="b">
        <v>0</v>
      </c>
      <c r="O157" s="38" t="b">
        <v>0</v>
      </c>
      <c r="P157" s="38" t="b">
        <v>0</v>
      </c>
      <c r="Q157" s="38" t="b">
        <v>0</v>
      </c>
      <c r="R157" s="38" t="b">
        <v>0</v>
      </c>
      <c r="S157" s="38" t="b">
        <v>0</v>
      </c>
      <c r="T157" s="38" t="b">
        <v>0</v>
      </c>
      <c r="U157" s="38" t="b">
        <v>0</v>
      </c>
      <c r="V157" s="38" t="b">
        <v>0</v>
      </c>
      <c r="W157" s="38" t="b">
        <v>0</v>
      </c>
      <c r="X157" s="24" t="b">
        <v>0</v>
      </c>
      <c r="Y157" s="38" t="b">
        <v>0</v>
      </c>
      <c r="Z157" s="38" t="b">
        <v>0</v>
      </c>
      <c r="AA157" s="38" t="b">
        <v>0</v>
      </c>
      <c r="AB157" s="38" t="b">
        <v>0</v>
      </c>
      <c r="AC157" s="38" t="b">
        <v>0</v>
      </c>
      <c r="AD157" s="38" t="b">
        <v>0</v>
      </c>
      <c r="AE157" s="38" t="b">
        <v>0</v>
      </c>
      <c r="AF157" s="38" t="b">
        <v>0</v>
      </c>
      <c r="AG157" s="38" t="b">
        <v>0</v>
      </c>
      <c r="AH157" s="38" t="b">
        <v>0</v>
      </c>
      <c r="AI157" s="38" t="b">
        <v>0</v>
      </c>
      <c r="AJ157" s="38" t="b">
        <v>0</v>
      </c>
      <c r="AK157" s="38" t="b">
        <v>0</v>
      </c>
      <c r="AL157" s="38" t="b">
        <v>0</v>
      </c>
      <c r="AM157" s="38" t="b">
        <v>0</v>
      </c>
      <c r="AN157" s="24" t="b">
        <v>0</v>
      </c>
      <c r="AO157" s="25">
        <f t="shared" si="83"/>
        <v>0</v>
      </c>
      <c r="AQ157" s="25">
        <f>IFERROR(__xludf.DUMMYFUNCTION("if(iserror(match(true,J157:AN157,0)),0,len(index(split(substitute(substitute(join("","",J157:AN157)&amp;"","",""TRUE,"",""x""),""FALSE,"","",""),"",""),,counta(split(substitute(substitute(join("","",J157:AN157)&amp;"","",""TRUE,"",""x""),""FALSE,"","",""),"",""))"&amp;")))"),0.0)</f>
        <v>0</v>
      </c>
      <c r="AR157" s="25" t="str">
        <f>IFERROR(__xludf.DUMMYFUNCTION("arrayformula( if( sum(J157:AN157 + 0), max( len( split( concatenate( left(J157:AN157) ), ""F"" ) ) ), ""0"" ) )"),"0")</f>
        <v>0</v>
      </c>
      <c r="AS157" s="26">
        <v>15.0</v>
      </c>
      <c r="AT157" s="27">
        <f t="shared" si="84"/>
        <v>0</v>
      </c>
    </row>
    <row r="158" hidden="1">
      <c r="A158" s="39"/>
      <c r="B158" s="40"/>
      <c r="C158" s="41"/>
      <c r="D158" s="41"/>
      <c r="E158" s="41"/>
      <c r="F158" s="41"/>
      <c r="G158" s="41"/>
      <c r="H158" s="41"/>
      <c r="I158" s="6"/>
      <c r="J158" s="38" t="b">
        <v>0</v>
      </c>
      <c r="K158" s="38" t="b">
        <v>0</v>
      </c>
      <c r="L158" s="38" t="b">
        <v>0</v>
      </c>
      <c r="M158" s="38" t="b">
        <v>0</v>
      </c>
      <c r="N158" s="38" t="b">
        <v>0</v>
      </c>
      <c r="O158" s="38" t="b">
        <v>0</v>
      </c>
      <c r="P158" s="38" t="b">
        <v>0</v>
      </c>
      <c r="Q158" s="38" t="b">
        <v>0</v>
      </c>
      <c r="R158" s="38" t="b">
        <v>0</v>
      </c>
      <c r="S158" s="38" t="b">
        <v>0</v>
      </c>
      <c r="T158" s="38" t="b">
        <v>0</v>
      </c>
      <c r="U158" s="38" t="b">
        <v>0</v>
      </c>
      <c r="V158" s="38" t="b">
        <v>0</v>
      </c>
      <c r="W158" s="38" t="b">
        <v>0</v>
      </c>
      <c r="X158" s="24" t="b">
        <v>0</v>
      </c>
      <c r="Y158" s="38" t="b">
        <v>0</v>
      </c>
      <c r="Z158" s="38" t="b">
        <v>0</v>
      </c>
      <c r="AA158" s="38" t="b">
        <v>0</v>
      </c>
      <c r="AB158" s="38" t="b">
        <v>0</v>
      </c>
      <c r="AC158" s="38" t="b">
        <v>0</v>
      </c>
      <c r="AD158" s="38" t="b">
        <v>0</v>
      </c>
      <c r="AE158" s="38" t="b">
        <v>0</v>
      </c>
      <c r="AF158" s="38" t="b">
        <v>0</v>
      </c>
      <c r="AG158" s="38" t="b">
        <v>0</v>
      </c>
      <c r="AH158" s="38" t="b">
        <v>0</v>
      </c>
      <c r="AI158" s="38" t="b">
        <v>0</v>
      </c>
      <c r="AJ158" s="38" t="b">
        <v>0</v>
      </c>
      <c r="AK158" s="38" t="b">
        <v>0</v>
      </c>
      <c r="AL158" s="38" t="b">
        <v>0</v>
      </c>
      <c r="AM158" s="38" t="b">
        <v>0</v>
      </c>
      <c r="AN158" s="24" t="b">
        <v>0</v>
      </c>
      <c r="AO158" s="25">
        <f t="shared" si="83"/>
        <v>0</v>
      </c>
      <c r="AQ158" s="25">
        <f>IFERROR(__xludf.DUMMYFUNCTION("if(iserror(match(true,J158:AN158,0)),0,len(index(split(substitute(substitute(join("","",J158:AN158)&amp;"","",""TRUE,"",""x""),""FALSE,"","",""),"",""),,counta(split(substitute(substitute(join("","",J158:AN158)&amp;"","",""TRUE,"",""x""),""FALSE,"","",""),"",""))"&amp;")))"),0.0)</f>
        <v>0</v>
      </c>
      <c r="AR158" s="25" t="str">
        <f>IFERROR(__xludf.DUMMYFUNCTION("arrayformula( if( sum(J158:AN158 + 0), max( len( split( concatenate( left(J158:AN158) ), ""F"" ) ) ), ""0"" ) )"),"0")</f>
        <v>0</v>
      </c>
      <c r="AS158" s="26">
        <v>15.0</v>
      </c>
      <c r="AT158" s="27">
        <f t="shared" si="84"/>
        <v>0</v>
      </c>
    </row>
    <row r="159" hidden="1">
      <c r="A159" s="39"/>
      <c r="B159" s="40"/>
      <c r="C159" s="41"/>
      <c r="D159" s="41"/>
      <c r="E159" s="41"/>
      <c r="F159" s="41"/>
      <c r="G159" s="41"/>
      <c r="H159" s="41"/>
      <c r="I159" s="6"/>
      <c r="J159" s="38" t="b">
        <v>0</v>
      </c>
      <c r="K159" s="38" t="b">
        <v>0</v>
      </c>
      <c r="L159" s="38" t="b">
        <v>0</v>
      </c>
      <c r="M159" s="38" t="b">
        <v>0</v>
      </c>
      <c r="N159" s="38" t="b">
        <v>0</v>
      </c>
      <c r="O159" s="38" t="b">
        <v>0</v>
      </c>
      <c r="P159" s="38" t="b">
        <v>0</v>
      </c>
      <c r="Q159" s="38" t="b">
        <v>0</v>
      </c>
      <c r="R159" s="38" t="b">
        <v>0</v>
      </c>
      <c r="S159" s="38" t="b">
        <v>0</v>
      </c>
      <c r="T159" s="38" t="b">
        <v>0</v>
      </c>
      <c r="U159" s="38" t="b">
        <v>0</v>
      </c>
      <c r="V159" s="38" t="b">
        <v>0</v>
      </c>
      <c r="W159" s="38" t="b">
        <v>0</v>
      </c>
      <c r="X159" s="24" t="b">
        <v>0</v>
      </c>
      <c r="Y159" s="38" t="b">
        <v>0</v>
      </c>
      <c r="Z159" s="38" t="b">
        <v>0</v>
      </c>
      <c r="AA159" s="38" t="b">
        <v>0</v>
      </c>
      <c r="AB159" s="38" t="b">
        <v>0</v>
      </c>
      <c r="AC159" s="38" t="b">
        <v>0</v>
      </c>
      <c r="AD159" s="38" t="b">
        <v>0</v>
      </c>
      <c r="AE159" s="38" t="b">
        <v>0</v>
      </c>
      <c r="AF159" s="38" t="b">
        <v>0</v>
      </c>
      <c r="AG159" s="38" t="b">
        <v>0</v>
      </c>
      <c r="AH159" s="38" t="b">
        <v>0</v>
      </c>
      <c r="AI159" s="38" t="b">
        <v>0</v>
      </c>
      <c r="AJ159" s="38" t="b">
        <v>0</v>
      </c>
      <c r="AK159" s="38" t="b">
        <v>0</v>
      </c>
      <c r="AL159" s="38" t="b">
        <v>0</v>
      </c>
      <c r="AM159" s="38" t="b">
        <v>0</v>
      </c>
      <c r="AN159" s="24" t="b">
        <v>0</v>
      </c>
      <c r="AO159" s="25">
        <f t="shared" si="83"/>
        <v>0</v>
      </c>
      <c r="AQ159" s="25">
        <f>IFERROR(__xludf.DUMMYFUNCTION("if(iserror(match(true,J159:AN159,0)),0,len(index(split(substitute(substitute(join("","",J159:AN159)&amp;"","",""TRUE,"",""x""),""FALSE,"","",""),"",""),,counta(split(substitute(substitute(join("","",J159:AN159)&amp;"","",""TRUE,"",""x""),""FALSE,"","",""),"",""))"&amp;")))"),0.0)</f>
        <v>0</v>
      </c>
      <c r="AR159" s="25" t="str">
        <f>IFERROR(__xludf.DUMMYFUNCTION("arrayformula( if( sum(J159:AN159 + 0), max( len( split( concatenate( left(J159:AN159) ), ""F"" ) ) ), ""0"" ) )"),"0")</f>
        <v>0</v>
      </c>
      <c r="AS159" s="26">
        <v>15.0</v>
      </c>
      <c r="AT159" s="27">
        <f t="shared" si="84"/>
        <v>0</v>
      </c>
    </row>
    <row r="160" hidden="1">
      <c r="A160" s="39"/>
      <c r="B160" s="40"/>
      <c r="C160" s="41"/>
      <c r="D160" s="41"/>
      <c r="E160" s="41"/>
      <c r="F160" s="41"/>
      <c r="G160" s="41"/>
      <c r="H160" s="41"/>
      <c r="I160" s="6"/>
      <c r="J160" s="38" t="b">
        <v>0</v>
      </c>
      <c r="K160" s="38" t="b">
        <v>0</v>
      </c>
      <c r="L160" s="38" t="b">
        <v>0</v>
      </c>
      <c r="M160" s="38" t="b">
        <v>0</v>
      </c>
      <c r="N160" s="38" t="b">
        <v>0</v>
      </c>
      <c r="O160" s="38" t="b">
        <v>0</v>
      </c>
      <c r="P160" s="38" t="b">
        <v>0</v>
      </c>
      <c r="Q160" s="38" t="b">
        <v>0</v>
      </c>
      <c r="R160" s="38" t="b">
        <v>0</v>
      </c>
      <c r="S160" s="38" t="b">
        <v>0</v>
      </c>
      <c r="T160" s="38" t="b">
        <v>0</v>
      </c>
      <c r="U160" s="38" t="b">
        <v>0</v>
      </c>
      <c r="V160" s="38" t="b">
        <v>0</v>
      </c>
      <c r="W160" s="38" t="b">
        <v>0</v>
      </c>
      <c r="X160" s="24" t="b">
        <v>0</v>
      </c>
      <c r="Y160" s="38" t="b">
        <v>0</v>
      </c>
      <c r="Z160" s="38" t="b">
        <v>0</v>
      </c>
      <c r="AA160" s="38" t="b">
        <v>0</v>
      </c>
      <c r="AB160" s="38" t="b">
        <v>0</v>
      </c>
      <c r="AC160" s="38" t="b">
        <v>0</v>
      </c>
      <c r="AD160" s="38" t="b">
        <v>0</v>
      </c>
      <c r="AE160" s="38" t="b">
        <v>0</v>
      </c>
      <c r="AF160" s="38" t="b">
        <v>0</v>
      </c>
      <c r="AG160" s="38" t="b">
        <v>0</v>
      </c>
      <c r="AH160" s="38" t="b">
        <v>0</v>
      </c>
      <c r="AI160" s="38" t="b">
        <v>0</v>
      </c>
      <c r="AJ160" s="38" t="b">
        <v>0</v>
      </c>
      <c r="AK160" s="38" t="b">
        <v>0</v>
      </c>
      <c r="AL160" s="38" t="b">
        <v>0</v>
      </c>
      <c r="AM160" s="38" t="b">
        <v>0</v>
      </c>
      <c r="AN160" s="24" t="b">
        <v>0</v>
      </c>
      <c r="AO160" s="25">
        <f t="shared" si="83"/>
        <v>0</v>
      </c>
      <c r="AQ160" s="25">
        <f>IFERROR(__xludf.DUMMYFUNCTION("if(iserror(match(true,J160:AN160,0)),0,len(index(split(substitute(substitute(join("","",J160:AN160)&amp;"","",""TRUE,"",""x""),""FALSE,"","",""),"",""),,counta(split(substitute(substitute(join("","",J160:AN160)&amp;"","",""TRUE,"",""x""),""FALSE,"","",""),"",""))"&amp;")))"),0.0)</f>
        <v>0</v>
      </c>
      <c r="AR160" s="25" t="str">
        <f>IFERROR(__xludf.DUMMYFUNCTION("arrayformula( if( sum(J160:AN160 + 0), max( len( split( concatenate( left(J160:AN160) ), ""F"" ) ) ), ""0"" ) )"),"0")</f>
        <v>0</v>
      </c>
      <c r="AS160" s="26">
        <v>15.0</v>
      </c>
      <c r="AT160" s="27">
        <f t="shared" si="84"/>
        <v>0</v>
      </c>
    </row>
    <row r="161">
      <c r="I161" s="45"/>
      <c r="J161" s="24" t="str">
        <f t="array" ref="J161">IF(COUNTIF(J141:J160, "TRUE") = 1, Setup!$E$4, 
IF(COUNTIF(J141:J160, "TRUE") = 0, Setup!$E$3,
IF(COUNTIF(J141:J160, "TRUE") = 2, Setup!$E$5, 
IF(COUNTIF(J141:J160, "TRUE") = 3, Setup!$E$6, 
IF(COUNTIF(J141:J160, "TRUE") = 4, Setup!$E$7, 
IF(COUNTIF(J141:J160, "TRUE") = 5, Setup!$E$8, 
IF(COUNTIF(J141:J160, "TRUE") &gt;= 6, Setup!$E$9)))
))))</f>
        <v/>
      </c>
      <c r="K161" s="24" t="str">
        <f t="array" ref="K161">IF(COUNTIF(K141:K160, "TRUE") = 1, Setup!$E$4, 
IF(COUNTIF(K141:K160, "TRUE") = 0, Setup!$E$3,
IF(COUNTIF(K141:K160, "TRUE") = 2, Setup!$E$5, 
IF(COUNTIF(K141:K160, "TRUE") = 3, Setup!$E$6, 
IF(COUNTIF(K141:K160, "TRUE") = 4, Setup!$E$7, 
IF(COUNTIF(K141:K160, "TRUE") = 5, Setup!$E$8, 
IF(COUNTIF(K141:K160, "TRUE") &gt;= 6, Setup!$E$9)))
))))</f>
        <v/>
      </c>
      <c r="L161" s="24" t="str">
        <f t="array" ref="L161">IF(COUNTIF(L141:L160, "TRUE") = 1, Setup!$E$4, 
IF(COUNTIF(L141:L160, "TRUE") = 0, Setup!$E$3,
IF(COUNTIF(L141:L160, "TRUE") = 2, Setup!$E$5, 
IF(COUNTIF(L141:L160, "TRUE") = 3, Setup!$E$6, 
IF(COUNTIF(L141:L160, "TRUE") = 4, Setup!$E$7, 
IF(COUNTIF(L141:L160, "TRUE") = 5, Setup!$E$8, 
IF(COUNTIF(L141:L160, "TRUE") &gt;= 6, Setup!$E$9)))
))))</f>
        <v/>
      </c>
      <c r="M161" s="24" t="str">
        <f t="array" ref="M161">IF(COUNTIF(M141:M160, "TRUE") = 1, Setup!$E$4, 
IF(COUNTIF(M141:M160, "TRUE") = 0, Setup!$E$3,
IF(COUNTIF(M141:M160, "TRUE") = 2, Setup!$E$5, 
IF(COUNTIF(M141:M160, "TRUE") = 3, Setup!$E$6, 
IF(COUNTIF(M141:M160, "TRUE") = 4, Setup!$E$7, 
IF(COUNTIF(M141:M160, "TRUE") = 5, Setup!$E$8, 
IF(COUNTIF(M141:M160, "TRUE") &gt;= 6, Setup!$E$9)))
))))</f>
        <v/>
      </c>
      <c r="N161" s="24" t="str">
        <f t="array" ref="N161">IF(COUNTIF(N141:N160, "TRUE") = 1, Setup!$E$4, 
IF(COUNTIF(N141:N160, "TRUE") = 0, Setup!$E$3,
IF(COUNTIF(N141:N160, "TRUE") = 2, Setup!$E$5, 
IF(COUNTIF(N141:N160, "TRUE") = 3, Setup!$E$6, 
IF(COUNTIF(N141:N160, "TRUE") = 4, Setup!$E$7, 
IF(COUNTIF(N141:N160, "TRUE") = 5, Setup!$E$8, 
IF(COUNTIF(N141:N160, "TRUE") &gt;= 6, Setup!$E$9)))
))))</f>
        <v/>
      </c>
      <c r="O161" s="24" t="str">
        <f t="array" ref="O161">IF(COUNTIF(O141:O160, "TRUE") = 1, Setup!$E$4, 
IF(COUNTIF(O141:O160, "TRUE") = 0, Setup!$E$3,
IF(COUNTIF(O141:O160, "TRUE") = 2, Setup!$E$5, 
IF(COUNTIF(O141:O160, "TRUE") = 3, Setup!$E$6, 
IF(COUNTIF(O141:O160, "TRUE") = 4, Setup!$E$7, 
IF(COUNTIF(O141:O160, "TRUE") = 5, Setup!$E$8, 
IF(COUNTIF(O141:O160, "TRUE") &gt;= 6, Setup!$E$9)))
))))</f>
        <v/>
      </c>
      <c r="P161" s="24" t="str">
        <f t="array" ref="P161">IF(COUNTIF(P141:P160, "TRUE") = 1, Setup!$E$4, 
IF(COUNTIF(P141:P160, "TRUE") = 0, Setup!$E$3,
IF(COUNTIF(P141:P160, "TRUE") = 2, Setup!$E$5, 
IF(COUNTIF(P141:P160, "TRUE") = 3, Setup!$E$6, 
IF(COUNTIF(P141:P160, "TRUE") = 4, Setup!$E$7, 
IF(COUNTIF(P141:P160, "TRUE") = 5, Setup!$E$8, 
IF(COUNTIF(P141:P160, "TRUE") &gt;= 6, Setup!$E$9)))
))))</f>
        <v/>
      </c>
      <c r="Q161" s="24" t="str">
        <f t="array" ref="Q161">IF(COUNTIF(Q141:Q160, "TRUE") = 1, Setup!$E$4, 
IF(COUNTIF(Q141:Q160, "TRUE") = 0, Setup!$E$3,
IF(COUNTIF(Q141:Q160, "TRUE") = 2, Setup!$E$5, 
IF(COUNTIF(Q141:Q160, "TRUE") = 3, Setup!$E$6, 
IF(COUNTIF(Q141:Q160, "TRUE") = 4, Setup!$E$7, 
IF(COUNTIF(Q141:Q160, "TRUE") = 5, Setup!$E$8, 
IF(COUNTIF(Q141:Q160, "TRUE") &gt;= 6, Setup!$E$9)))
))))</f>
        <v/>
      </c>
      <c r="R161" s="24" t="str">
        <f t="array" ref="R161">IF(COUNTIF(R141:R160, "TRUE") = 1, Setup!$E$4, 
IF(COUNTIF(R141:R160, "TRUE") = 0, Setup!$E$3,
IF(COUNTIF(R141:R160, "TRUE") = 2, Setup!$E$5, 
IF(COUNTIF(R141:R160, "TRUE") = 3, Setup!$E$6, 
IF(COUNTIF(R141:R160, "TRUE") = 4, Setup!$E$7, 
IF(COUNTIF(R141:R160, "TRUE") = 5, Setup!$E$8, 
IF(COUNTIF(R141:R160, "TRUE") &gt;= 6, Setup!$E$9)))
))))</f>
        <v/>
      </c>
      <c r="S161" s="24" t="str">
        <f t="array" ref="S161">IF(COUNTIF(S141:S160, "TRUE") = 1, Setup!$E$4, 
IF(COUNTIF(S141:S160, "TRUE") = 0, Setup!$E$3,
IF(COUNTIF(S141:S160, "TRUE") = 2, Setup!$E$5, 
IF(COUNTIF(S141:S160, "TRUE") = 3, Setup!$E$6, 
IF(COUNTIF(S141:S160, "TRUE") = 4, Setup!$E$7, 
IF(COUNTIF(S141:S160, "TRUE") = 5, Setup!$E$8, 
IF(COUNTIF(S141:S160, "TRUE") &gt;= 6, Setup!$E$9)))
))))</f>
        <v/>
      </c>
      <c r="T161" s="24" t="str">
        <f t="array" ref="T161">IF(COUNTIF(T141:T160, "TRUE") = 1, Setup!$E$4, 
IF(COUNTIF(T141:T160, "TRUE") = 0, Setup!$E$3,
IF(COUNTIF(T141:T160, "TRUE") = 2, Setup!$E$5, 
IF(COUNTIF(T141:T160, "TRUE") = 3, Setup!$E$6, 
IF(COUNTIF(T141:T160, "TRUE") = 4, Setup!$E$7, 
IF(COUNTIF(T141:T160, "TRUE") = 5, Setup!$E$8, 
IF(COUNTIF(T141:T160, "TRUE") &gt;= 6, Setup!$E$9)))
))))</f>
        <v/>
      </c>
      <c r="U161" s="24" t="str">
        <f t="array" ref="U161">IF(COUNTIF(U141:U160, "TRUE") = 1, Setup!$E$4, 
IF(COUNTIF(U141:U160, "TRUE") = 0, Setup!$E$3,
IF(COUNTIF(U141:U160, "TRUE") = 2, Setup!$E$5, 
IF(COUNTIF(U141:U160, "TRUE") = 3, Setup!$E$6, 
IF(COUNTIF(U141:U160, "TRUE") = 4, Setup!$E$7, 
IF(COUNTIF(U141:U160, "TRUE") = 5, Setup!$E$8, 
IF(COUNTIF(U141:U160, "TRUE") &gt;= 6, Setup!$E$9)))
))))</f>
        <v/>
      </c>
      <c r="V161" s="24" t="str">
        <f t="array" ref="V161">IF(COUNTIF(V141:V160, "TRUE") = 1, Setup!$E$4, 
IF(COUNTIF(V141:V160, "TRUE") = 0, Setup!$E$3,
IF(COUNTIF(V141:V160, "TRUE") = 2, Setup!$E$5, 
IF(COUNTIF(V141:V160, "TRUE") = 3, Setup!$E$6, 
IF(COUNTIF(V141:V160, "TRUE") = 4, Setup!$E$7, 
IF(COUNTIF(V141:V160, "TRUE") = 5, Setup!$E$8, 
IF(COUNTIF(V141:V160, "TRUE") &gt;= 6, Setup!$E$9)))
))))</f>
        <v/>
      </c>
      <c r="W161" s="24" t="str">
        <f t="array" ref="W161">IF(COUNTIF(W141:W160, "TRUE") = 1, Setup!$E$4, 
IF(COUNTIF(W141:W160, "TRUE") = 0, Setup!$E$3,
IF(COUNTIF(W141:W160, "TRUE") = 2, Setup!$E$5, 
IF(COUNTIF(W141:W160, "TRUE") = 3, Setup!$E$6, 
IF(COUNTIF(W141:W160, "TRUE") = 4, Setup!$E$7, 
IF(COUNTIF(W141:W160, "TRUE") = 5, Setup!$E$8, 
IF(COUNTIF(W141:W160, "TRUE") &gt;= 6, Setup!$E$9)))
))))</f>
        <v/>
      </c>
      <c r="X161" s="24" t="str">
        <f t="array" ref="X161">IF(COUNTIF(X141:X160, "TRUE") = 1, Setup!$E$4, 
IF(COUNTIF(X141:X160, "TRUE") = 0, Setup!$E$3,
IF(COUNTIF(X141:X160, "TRUE") = 2, Setup!$E$5, 
IF(COUNTIF(X141:X160, "TRUE") = 3, Setup!$E$6, 
IF(COUNTIF(X141:X160, "TRUE") = 4, Setup!$E$7, 
IF(COUNTIF(X141:X160, "TRUE") = 5, Setup!$E$8, 
IF(COUNTIF(X141:X160, "TRUE") &gt;= 6, Setup!$E$9)))
))))</f>
        <v/>
      </c>
      <c r="Y161" s="24" t="str">
        <f t="array" ref="Y161">IF(COUNTIF(Y141:Y160, "TRUE") = 1, Setup!$E$4, 
IF(COUNTIF(Y141:Y160, "TRUE") = 0, Setup!$E$3,
IF(COUNTIF(Y141:Y160, "TRUE") = 2, Setup!$E$5, 
IF(COUNTIF(Y141:Y160, "TRUE") = 3, Setup!$E$6, 
IF(COUNTIF(Y141:Y160, "TRUE") = 4, Setup!$E$7, 
IF(COUNTIF(Y141:Y160, "TRUE") = 5, Setup!$E$8, 
IF(COUNTIF(Y141:Y160, "TRUE") &gt;= 6, Setup!$E$9)))
))))</f>
        <v/>
      </c>
      <c r="Z161" s="24" t="str">
        <f t="array" ref="Z161">IF(COUNTIF(Z141:Z160, "TRUE") = 1, Setup!$E$4, 
IF(COUNTIF(Z141:Z160, "TRUE") = 0, Setup!$E$3,
IF(COUNTIF(Z141:Z160, "TRUE") = 2, Setup!$E$5, 
IF(COUNTIF(Z141:Z160, "TRUE") = 3, Setup!$E$6, 
IF(COUNTIF(Z141:Z160, "TRUE") = 4, Setup!$E$7, 
IF(COUNTIF(Z141:Z160, "TRUE") = 5, Setup!$E$8, 
IF(COUNTIF(Z141:Z160, "TRUE") &gt;= 6, Setup!$E$9)))
))))</f>
        <v/>
      </c>
      <c r="AA161" s="24" t="str">
        <f t="array" ref="AA161">IF(COUNTIF(AA141:AA160, "TRUE") = 1, Setup!$E$4, 
IF(COUNTIF(AA141:AA160, "TRUE") = 0, Setup!$E$3,
IF(COUNTIF(AA141:AA160, "TRUE") = 2, Setup!$E$5, 
IF(COUNTIF(AA141:AA160, "TRUE") = 3, Setup!$E$6, 
IF(COUNTIF(AA141:AA160, "TRUE") = 4, Setup!$E$7, 
IF(COUNTIF(AA141:AA160, "TRUE") = 5, Setup!$E$8, 
IF(COUNTIF(AA141:AA160, "TRUE") &gt;= 6, Setup!$E$9)))
))))</f>
        <v/>
      </c>
      <c r="AB161" s="24" t="str">
        <f t="array" ref="AB161">IF(COUNTIF(AB141:AB160, "TRUE") = 1, Setup!$E$4, 
IF(COUNTIF(AB141:AB160, "TRUE") = 0, Setup!$E$3,
IF(COUNTIF(AB141:AB160, "TRUE") = 2, Setup!$E$5, 
IF(COUNTIF(AB141:AB160, "TRUE") = 3, Setup!$E$6, 
IF(COUNTIF(AB141:AB160, "TRUE") = 4, Setup!$E$7, 
IF(COUNTIF(AB141:AB160, "TRUE") = 5, Setup!$E$8, 
IF(COUNTIF(AB141:AB160, "TRUE") &gt;= 6, Setup!$E$9)))
))))</f>
        <v/>
      </c>
      <c r="AC161" s="24" t="str">
        <f t="array" ref="AC161">IF(COUNTIF(AC141:AC160, "TRUE") = 1, Setup!$E$4, 
IF(COUNTIF(AC141:AC160, "TRUE") = 0, Setup!$E$3,
IF(COUNTIF(AC141:AC160, "TRUE") = 2, Setup!$E$5, 
IF(COUNTIF(AC141:AC160, "TRUE") = 3, Setup!$E$6, 
IF(COUNTIF(AC141:AC160, "TRUE") = 4, Setup!$E$7, 
IF(COUNTIF(AC141:AC160, "TRUE") = 5, Setup!$E$8, 
IF(COUNTIF(AC141:AC160, "TRUE") &gt;= 6, Setup!$E$9)))
))))</f>
        <v/>
      </c>
      <c r="AD161" s="24" t="str">
        <f t="array" ref="AD161">IF(COUNTIF(AD141:AD160, "TRUE") = 1, Setup!$E$4, 
IF(COUNTIF(AD141:AD160, "TRUE") = 0, Setup!$E$3,
IF(COUNTIF(AD141:AD160, "TRUE") = 2, Setup!$E$5, 
IF(COUNTIF(AD141:AD160, "TRUE") = 3, Setup!$E$6, 
IF(COUNTIF(AD141:AD160, "TRUE") = 4, Setup!$E$7, 
IF(COUNTIF(AD141:AD160, "TRUE") = 5, Setup!$E$8, 
IF(COUNTIF(AD141:AD160, "TRUE") &gt;= 6, Setup!$E$9)))
))))</f>
        <v/>
      </c>
      <c r="AE161" s="24" t="str">
        <f t="array" ref="AE161">IF(COUNTIF(AE141:AE160, "TRUE") = 1, Setup!$E$4, 
IF(COUNTIF(AE141:AE160, "TRUE") = 0, Setup!$E$3,
IF(COUNTIF(AE141:AE160, "TRUE") = 2, Setup!$E$5, 
IF(COUNTIF(AE141:AE160, "TRUE") = 3, Setup!$E$6, 
IF(COUNTIF(AE141:AE160, "TRUE") = 4, Setup!$E$7, 
IF(COUNTIF(AE141:AE160, "TRUE") = 5, Setup!$E$8, 
IF(COUNTIF(AE141:AE160, "TRUE") &gt;= 6, Setup!$E$9)))
))))</f>
        <v/>
      </c>
      <c r="AF161" s="24" t="str">
        <f t="array" ref="AF161">IF(COUNTIF(AF141:AF160, "TRUE") = 1, Setup!$E$4, 
IF(COUNTIF(AF141:AF160, "TRUE") = 0, Setup!$E$3,
IF(COUNTIF(AF141:AF160, "TRUE") = 2, Setup!$E$5, 
IF(COUNTIF(AF141:AF160, "TRUE") = 3, Setup!$E$6, 
IF(COUNTIF(AF141:AF160, "TRUE") = 4, Setup!$E$7, 
IF(COUNTIF(AF141:AF160, "TRUE") = 5, Setup!$E$8, 
IF(COUNTIF(AF141:AF160, "TRUE") &gt;= 6, Setup!$E$9)))
))))</f>
        <v/>
      </c>
      <c r="AG161" s="24" t="str">
        <f t="array" ref="AG161">IF(COUNTIF(AG141:AG160, "TRUE") = 1, Setup!$E$4, 
IF(COUNTIF(AG141:AG160, "TRUE") = 0, Setup!$E$3,
IF(COUNTIF(AG141:AG160, "TRUE") = 2, Setup!$E$5, 
IF(COUNTIF(AG141:AG160, "TRUE") = 3, Setup!$E$6, 
IF(COUNTIF(AG141:AG160, "TRUE") = 4, Setup!$E$7, 
IF(COUNTIF(AG141:AG160, "TRUE") = 5, Setup!$E$8, 
IF(COUNTIF(AG141:AG160, "TRUE") &gt;= 6, Setup!$E$9)))
))))</f>
        <v/>
      </c>
      <c r="AH161" s="24" t="str">
        <f t="array" ref="AH161">IF(COUNTIF(AH141:AH160, "TRUE") = 1, Setup!$E$4, 
IF(COUNTIF(AH141:AH160, "TRUE") = 0, Setup!$E$3,
IF(COUNTIF(AH141:AH160, "TRUE") = 2, Setup!$E$5, 
IF(COUNTIF(AH141:AH160, "TRUE") = 3, Setup!$E$6, 
IF(COUNTIF(AH141:AH160, "TRUE") = 4, Setup!$E$7, 
IF(COUNTIF(AH141:AH160, "TRUE") = 5, Setup!$E$8, 
IF(COUNTIF(AH141:AH160, "TRUE") &gt;= 6, Setup!$E$9)))
))))</f>
        <v/>
      </c>
      <c r="AI161" s="24" t="str">
        <f t="array" ref="AI161">IF(COUNTIF(AI141:AI160, "TRUE") = 1, Setup!$E$4, 
IF(COUNTIF(AI141:AI160, "TRUE") = 0, Setup!$E$3,
IF(COUNTIF(AI141:AI160, "TRUE") = 2, Setup!$E$5, 
IF(COUNTIF(AI141:AI160, "TRUE") = 3, Setup!$E$6, 
IF(COUNTIF(AI141:AI160, "TRUE") = 4, Setup!$E$7, 
IF(COUNTIF(AI141:AI160, "TRUE") = 5, Setup!$E$8, 
IF(COUNTIF(AI141:AI160, "TRUE") &gt;= 6, Setup!$E$9)))
))))</f>
        <v/>
      </c>
      <c r="AJ161" s="24" t="str">
        <f t="array" ref="AJ161">IF(COUNTIF(AJ141:AJ160, "TRUE") = 1, Setup!$E$4, 
IF(COUNTIF(AJ141:AJ160, "TRUE") = 0, Setup!$E$3,
IF(COUNTIF(AJ141:AJ160, "TRUE") = 2, Setup!$E$5, 
IF(COUNTIF(AJ141:AJ160, "TRUE") = 3, Setup!$E$6, 
IF(COUNTIF(AJ141:AJ160, "TRUE") = 4, Setup!$E$7, 
IF(COUNTIF(AJ141:AJ160, "TRUE") = 5, Setup!$E$8, 
IF(COUNTIF(AJ141:AJ160, "TRUE") &gt;= 6, Setup!$E$9)))
))))</f>
        <v/>
      </c>
      <c r="AK161" s="24" t="str">
        <f t="array" ref="AK161">IF(COUNTIF(AK141:AK160, "TRUE") = 1, Setup!$E$4, 
IF(COUNTIF(AK141:AK160, "TRUE") = 0, Setup!$E$3,
IF(COUNTIF(AK141:AK160, "TRUE") = 2, Setup!$E$5, 
IF(COUNTIF(AK141:AK160, "TRUE") = 3, Setup!$E$6, 
IF(COUNTIF(AK141:AK160, "TRUE") = 4, Setup!$E$7, 
IF(COUNTIF(AK141:AK160, "TRUE") = 5, Setup!$E$8, 
IF(COUNTIF(AK141:AK160, "TRUE") &gt;= 6, Setup!$E$9)))
))))</f>
        <v/>
      </c>
      <c r="AL161" s="24" t="str">
        <f t="array" ref="AL161">IF(COUNTIF(AL141:AL160, "TRUE") = 1, Setup!$E$4, 
IF(COUNTIF(AL141:AL160, "TRUE") = 0, Setup!$E$3,
IF(COUNTIF(AL141:AL160, "TRUE") = 2, Setup!$E$5, 
IF(COUNTIF(AL141:AL160, "TRUE") = 3, Setup!$E$6, 
IF(COUNTIF(AL141:AL160, "TRUE") = 4, Setup!$E$7, 
IF(COUNTIF(AL141:AL160, "TRUE") = 5, Setup!$E$8, 
IF(COUNTIF(AL141:AL160, "TRUE") &gt;= 6, Setup!$E$9)))
))))</f>
        <v/>
      </c>
      <c r="AM161" s="24" t="str">
        <f t="array" ref="AM161">IF(COUNTIF(AM141:AM160, "TRUE") = 1, Setup!$E$4, 
IF(COUNTIF(AM141:AM160, "TRUE") = 0, Setup!$E$3,
IF(COUNTIF(AM141:AM160, "TRUE") = 2, Setup!$E$5, 
IF(COUNTIF(AM141:AM160, "TRUE") = 3, Setup!$E$6, 
IF(COUNTIF(AM141:AM160, "TRUE") = 4, Setup!$E$7, 
IF(COUNTIF(AM141:AM160, "TRUE") = 5, Setup!$E$8, 
IF(COUNTIF(AM141:AM160, "TRUE") &gt;= 6, Setup!$E$9)))
))))</f>
        <v/>
      </c>
      <c r="AN161" s="24" t="str">
        <f t="array" ref="AN161">IF(COUNTIF(AN141:AN160, "TRUE") = 1, Setup!$E$4, 
IF(COUNTIF(AN141:AN160, "TRUE") = 0, Setup!$E$3,
IF(COUNTIF(AN141:AN160, "TRUE") = 2, Setup!$E$5, 
IF(COUNTIF(AN141:AN160, "TRUE") = 3, Setup!$E$6, 
IF(COUNTIF(AN141:AN160, "TRUE") = 4, Setup!$E$7, 
IF(COUNTIF(AN141:AN160, "TRUE") = 5, Setup!$E$8, 
IF(COUNTIF(AN141:AN160, "TRUE") &gt;= 6, Setup!$E$9)))
))))</f>
        <v/>
      </c>
      <c r="AO161" s="38"/>
      <c r="AQ161" s="38"/>
      <c r="AR161" s="38"/>
      <c r="AS161" s="38"/>
      <c r="AT161" s="38"/>
    </row>
    <row r="162">
      <c r="A162" s="13" t="s">
        <v>53</v>
      </c>
      <c r="B162" s="13" t="s">
        <v>54</v>
      </c>
      <c r="I162" s="15" t="s">
        <v>55</v>
      </c>
      <c r="J162" s="16">
        <f t="array" ref="J162">DATE($D$1, MATCH(I162, {"January","February","March","April","May","June","July","August","September","October","November","December"}, 0), 1)</f>
        <v>46235</v>
      </c>
      <c r="K162" s="16">
        <f t="shared" ref="K162:AN162" si="92">J162+1</f>
        <v>46236</v>
      </c>
      <c r="L162" s="16">
        <f t="shared" si="92"/>
        <v>46237</v>
      </c>
      <c r="M162" s="16">
        <f t="shared" si="92"/>
        <v>46238</v>
      </c>
      <c r="N162" s="16">
        <f t="shared" si="92"/>
        <v>46239</v>
      </c>
      <c r="O162" s="16">
        <f t="shared" si="92"/>
        <v>46240</v>
      </c>
      <c r="P162" s="16">
        <f t="shared" si="92"/>
        <v>46241</v>
      </c>
      <c r="Q162" s="16">
        <f t="shared" si="92"/>
        <v>46242</v>
      </c>
      <c r="R162" s="16">
        <f t="shared" si="92"/>
        <v>46243</v>
      </c>
      <c r="S162" s="16">
        <f t="shared" si="92"/>
        <v>46244</v>
      </c>
      <c r="T162" s="16">
        <f t="shared" si="92"/>
        <v>46245</v>
      </c>
      <c r="U162" s="16">
        <f t="shared" si="92"/>
        <v>46246</v>
      </c>
      <c r="V162" s="16">
        <f t="shared" si="92"/>
        <v>46247</v>
      </c>
      <c r="W162" s="16">
        <f t="shared" si="92"/>
        <v>46248</v>
      </c>
      <c r="X162" s="16">
        <f t="shared" si="92"/>
        <v>46249</v>
      </c>
      <c r="Y162" s="16">
        <f t="shared" si="92"/>
        <v>46250</v>
      </c>
      <c r="Z162" s="16">
        <f t="shared" si="92"/>
        <v>46251</v>
      </c>
      <c r="AA162" s="16">
        <f t="shared" si="92"/>
        <v>46252</v>
      </c>
      <c r="AB162" s="16">
        <f t="shared" si="92"/>
        <v>46253</v>
      </c>
      <c r="AC162" s="16">
        <f t="shared" si="92"/>
        <v>46254</v>
      </c>
      <c r="AD162" s="16">
        <f t="shared" si="92"/>
        <v>46255</v>
      </c>
      <c r="AE162" s="16">
        <f t="shared" si="92"/>
        <v>46256</v>
      </c>
      <c r="AF162" s="16">
        <f t="shared" si="92"/>
        <v>46257</v>
      </c>
      <c r="AG162" s="16">
        <f t="shared" si="92"/>
        <v>46258</v>
      </c>
      <c r="AH162" s="16">
        <f t="shared" si="92"/>
        <v>46259</v>
      </c>
      <c r="AI162" s="16">
        <f t="shared" si="92"/>
        <v>46260</v>
      </c>
      <c r="AJ162" s="16">
        <f t="shared" si="92"/>
        <v>46261</v>
      </c>
      <c r="AK162" s="16">
        <f t="shared" si="92"/>
        <v>46262</v>
      </c>
      <c r="AL162" s="16">
        <f t="shared" si="92"/>
        <v>46263</v>
      </c>
      <c r="AM162" s="16">
        <f t="shared" si="92"/>
        <v>46264</v>
      </c>
      <c r="AN162" s="16">
        <f t="shared" si="92"/>
        <v>46265</v>
      </c>
      <c r="AO162" s="17" t="s">
        <v>28</v>
      </c>
      <c r="AQ162" s="18" t="s">
        <v>29</v>
      </c>
      <c r="AR162" s="18" t="s">
        <v>30</v>
      </c>
      <c r="AS162" s="18" t="s">
        <v>31</v>
      </c>
      <c r="AT162" s="18" t="s">
        <v>32</v>
      </c>
    </row>
    <row r="163" ht="15.0" customHeight="1">
      <c r="A163" s="34"/>
      <c r="B163" s="34"/>
      <c r="I163" s="35"/>
      <c r="J163" s="36">
        <f t="shared" ref="J163:AN163" si="93">J162</f>
        <v>46235</v>
      </c>
      <c r="K163" s="36">
        <f t="shared" si="93"/>
        <v>46236</v>
      </c>
      <c r="L163" s="36">
        <f t="shared" si="93"/>
        <v>46237</v>
      </c>
      <c r="M163" s="36">
        <f t="shared" si="93"/>
        <v>46238</v>
      </c>
      <c r="N163" s="36">
        <f t="shared" si="93"/>
        <v>46239</v>
      </c>
      <c r="O163" s="36">
        <f t="shared" si="93"/>
        <v>46240</v>
      </c>
      <c r="P163" s="36">
        <f t="shared" si="93"/>
        <v>46241</v>
      </c>
      <c r="Q163" s="36">
        <f t="shared" si="93"/>
        <v>46242</v>
      </c>
      <c r="R163" s="36">
        <f t="shared" si="93"/>
        <v>46243</v>
      </c>
      <c r="S163" s="36">
        <f t="shared" si="93"/>
        <v>46244</v>
      </c>
      <c r="T163" s="36">
        <f t="shared" si="93"/>
        <v>46245</v>
      </c>
      <c r="U163" s="36">
        <f t="shared" si="93"/>
        <v>46246</v>
      </c>
      <c r="V163" s="36">
        <f t="shared" si="93"/>
        <v>46247</v>
      </c>
      <c r="W163" s="36">
        <f t="shared" si="93"/>
        <v>46248</v>
      </c>
      <c r="X163" s="36">
        <f t="shared" si="93"/>
        <v>46249</v>
      </c>
      <c r="Y163" s="36">
        <f t="shared" si="93"/>
        <v>46250</v>
      </c>
      <c r="Z163" s="36">
        <f t="shared" si="93"/>
        <v>46251</v>
      </c>
      <c r="AA163" s="36">
        <f t="shared" si="93"/>
        <v>46252</v>
      </c>
      <c r="AB163" s="36">
        <f t="shared" si="93"/>
        <v>46253</v>
      </c>
      <c r="AC163" s="36">
        <f t="shared" si="93"/>
        <v>46254</v>
      </c>
      <c r="AD163" s="36">
        <f t="shared" si="93"/>
        <v>46255</v>
      </c>
      <c r="AE163" s="36">
        <f t="shared" si="93"/>
        <v>46256</v>
      </c>
      <c r="AF163" s="36">
        <f t="shared" si="93"/>
        <v>46257</v>
      </c>
      <c r="AG163" s="36">
        <f t="shared" si="93"/>
        <v>46258</v>
      </c>
      <c r="AH163" s="36">
        <f t="shared" si="93"/>
        <v>46259</v>
      </c>
      <c r="AI163" s="36">
        <f t="shared" si="93"/>
        <v>46260</v>
      </c>
      <c r="AJ163" s="36">
        <f t="shared" si="93"/>
        <v>46261</v>
      </c>
      <c r="AK163" s="36">
        <f t="shared" si="93"/>
        <v>46262</v>
      </c>
      <c r="AL163" s="36">
        <f t="shared" si="93"/>
        <v>46263</v>
      </c>
      <c r="AM163" s="36">
        <f t="shared" si="93"/>
        <v>46264</v>
      </c>
      <c r="AN163" s="36">
        <f t="shared" si="93"/>
        <v>46265</v>
      </c>
    </row>
    <row r="164">
      <c r="A164" s="22"/>
      <c r="B164" s="46" t="str">
        <f t="shared" ref="B164:H164" si="94">IF($E$2="Monday", TEXT(TODAY()-WEEKDAY(TODAY(),2)+COLUMN(B164)-1,"ddd"), TEXT(TODAY()-WEEKDAY(TODAY(),1)+IF(COLUMN(B164)&gt;1,COLUMN(B164)-1,7),"ddd"))
</f>
        <v>Mon</v>
      </c>
      <c r="C164" s="46" t="str">
        <f t="shared" si="94"/>
        <v>Tue</v>
      </c>
      <c r="D164" s="46" t="str">
        <f t="shared" si="94"/>
        <v>Wed</v>
      </c>
      <c r="E164" s="46" t="str">
        <f t="shared" si="94"/>
        <v>Thu</v>
      </c>
      <c r="F164" s="46" t="str">
        <f t="shared" si="94"/>
        <v>Fri</v>
      </c>
      <c r="G164" s="46" t="str">
        <f t="shared" si="94"/>
        <v>Sat</v>
      </c>
      <c r="H164" s="46" t="str">
        <f t="shared" si="94"/>
        <v>Sun</v>
      </c>
      <c r="I164" s="6" t="str">
        <f t="array" ref="I164:I183">Setup!$B$3:$B$22</f>
        <v>🧘🏻‍♀️Yoga</v>
      </c>
      <c r="J164" s="38" t="b">
        <v>0</v>
      </c>
      <c r="K164" s="38" t="b">
        <v>0</v>
      </c>
      <c r="L164" s="38" t="b">
        <v>0</v>
      </c>
      <c r="M164" s="38" t="b">
        <v>0</v>
      </c>
      <c r="N164" s="38" t="b">
        <v>0</v>
      </c>
      <c r="O164" s="38" t="b">
        <v>0</v>
      </c>
      <c r="P164" s="38" t="b">
        <v>0</v>
      </c>
      <c r="Q164" s="38" t="b">
        <v>0</v>
      </c>
      <c r="R164" s="38" t="b">
        <v>0</v>
      </c>
      <c r="S164" s="38" t="b">
        <v>0</v>
      </c>
      <c r="T164" s="38" t="b">
        <v>0</v>
      </c>
      <c r="U164" s="38" t="b">
        <v>0</v>
      </c>
      <c r="V164" s="38" t="b">
        <v>0</v>
      </c>
      <c r="W164" s="38" t="b">
        <v>0</v>
      </c>
      <c r="X164" s="38" t="b">
        <v>0</v>
      </c>
      <c r="Y164" s="38" t="b">
        <v>0</v>
      </c>
      <c r="Z164" s="38" t="b">
        <v>0</v>
      </c>
      <c r="AA164" s="38" t="b">
        <v>0</v>
      </c>
      <c r="AB164" s="38" t="b">
        <v>0</v>
      </c>
      <c r="AC164" s="38" t="b">
        <v>0</v>
      </c>
      <c r="AD164" s="38" t="b">
        <v>0</v>
      </c>
      <c r="AE164" s="38" t="b">
        <v>0</v>
      </c>
      <c r="AF164" s="38" t="b">
        <v>0</v>
      </c>
      <c r="AG164" s="38" t="b">
        <v>0</v>
      </c>
      <c r="AH164" s="38" t="b">
        <v>0</v>
      </c>
      <c r="AI164" s="38" t="b">
        <v>0</v>
      </c>
      <c r="AJ164" s="38" t="b">
        <v>0</v>
      </c>
      <c r="AK164" s="38" t="b">
        <v>0</v>
      </c>
      <c r="AL164" s="38" t="b">
        <v>0</v>
      </c>
      <c r="AM164" s="38" t="b">
        <v>0</v>
      </c>
      <c r="AN164" s="38" t="b">
        <v>0</v>
      </c>
      <c r="AO164" s="25">
        <f t="shared" ref="AO164:AO183" si="96">COUNTIF(J164:AN164, "TRUE")</f>
        <v>0</v>
      </c>
      <c r="AQ164" s="25">
        <f>IFERROR(__xludf.DUMMYFUNCTION("if(iserror(match(true,J164:AN164,0)),0,len(index(split(substitute(substitute(join("","",J164:AN164)&amp;"","",""TRUE,"",""x""),""FALSE,"","",""),"",""),,counta(split(substitute(substitute(join("","",J164:AN164)&amp;"","",""TRUE,"",""x""),""FALSE,"","",""),"",""))"&amp;")))"),0.0)</f>
        <v>0</v>
      </c>
      <c r="AR164" s="25" t="str">
        <f>IFERROR(__xludf.DUMMYFUNCTION("arrayformula( if( sum(J164:AN164 + 0), max( len( split( concatenate( left(J164:AN164) ), ""F"" ) ) ), ""0"" ) )"),"0")</f>
        <v>0</v>
      </c>
      <c r="AS164" s="26">
        <v>15.0</v>
      </c>
      <c r="AT164" s="27">
        <f t="shared" ref="AT164:AT183" si="97">AO164/AS164</f>
        <v>0</v>
      </c>
    </row>
    <row r="165">
      <c r="A165" s="28">
        <f>WEEKNUM(DATE($D$1, MONTH(I162 &amp; 1), 1), 2)
</f>
        <v>31</v>
      </c>
      <c r="B165" s="29">
        <f t="array" ref="B165">IFERROR(DATE($D$1, 1, (A165-1)*7 + 2 - WEEKDAY(DATE($D$1, 1, 1) - MATCH(B164, {"Mon","Tue","Wed","Thu","Fri","Sat","Sun"}, 0))), "")</f>
        <v>46230</v>
      </c>
      <c r="C165" s="30">
        <f t="shared" ref="C165:H165" si="95">B165+1</f>
        <v>46231</v>
      </c>
      <c r="D165" s="30">
        <f t="shared" si="95"/>
        <v>46232</v>
      </c>
      <c r="E165" s="30">
        <f t="shared" si="95"/>
        <v>46233</v>
      </c>
      <c r="F165" s="30">
        <f t="shared" si="95"/>
        <v>46234</v>
      </c>
      <c r="G165" s="30">
        <f t="shared" si="95"/>
        <v>46235</v>
      </c>
      <c r="H165" s="30">
        <f t="shared" si="95"/>
        <v>46236</v>
      </c>
      <c r="I165" s="6" t="s">
        <v>7</v>
      </c>
      <c r="J165" s="38" t="b">
        <v>0</v>
      </c>
      <c r="K165" s="38" t="b">
        <v>0</v>
      </c>
      <c r="L165" s="38" t="b">
        <v>0</v>
      </c>
      <c r="M165" s="38" t="b">
        <v>0</v>
      </c>
      <c r="N165" s="38" t="b">
        <v>0</v>
      </c>
      <c r="O165" s="38" t="b">
        <v>0</v>
      </c>
      <c r="P165" s="38" t="b">
        <v>0</v>
      </c>
      <c r="Q165" s="38" t="b">
        <v>0</v>
      </c>
      <c r="R165" s="38" t="b">
        <v>0</v>
      </c>
      <c r="S165" s="38" t="b">
        <v>0</v>
      </c>
      <c r="T165" s="38" t="b">
        <v>0</v>
      </c>
      <c r="U165" s="38" t="b">
        <v>0</v>
      </c>
      <c r="V165" s="38" t="b">
        <v>0</v>
      </c>
      <c r="W165" s="38" t="b">
        <v>0</v>
      </c>
      <c r="X165" s="38" t="b">
        <v>0</v>
      </c>
      <c r="Y165" s="38" t="b">
        <v>0</v>
      </c>
      <c r="Z165" s="38" t="b">
        <v>0</v>
      </c>
      <c r="AA165" s="38" t="b">
        <v>0</v>
      </c>
      <c r="AB165" s="38" t="b">
        <v>0</v>
      </c>
      <c r="AC165" s="38" t="b">
        <v>0</v>
      </c>
      <c r="AD165" s="38" t="b">
        <v>0</v>
      </c>
      <c r="AE165" s="38" t="b">
        <v>0</v>
      </c>
      <c r="AF165" s="38" t="b">
        <v>0</v>
      </c>
      <c r="AG165" s="38" t="b">
        <v>0</v>
      </c>
      <c r="AH165" s="38" t="b">
        <v>0</v>
      </c>
      <c r="AI165" s="38" t="b">
        <v>0</v>
      </c>
      <c r="AJ165" s="38" t="b">
        <v>0</v>
      </c>
      <c r="AK165" s="38" t="b">
        <v>0</v>
      </c>
      <c r="AL165" s="38" t="b">
        <v>0</v>
      </c>
      <c r="AM165" s="38" t="b">
        <v>0</v>
      </c>
      <c r="AN165" s="38" t="b">
        <v>0</v>
      </c>
      <c r="AO165" s="25">
        <f t="shared" si="96"/>
        <v>0</v>
      </c>
      <c r="AQ165" s="25">
        <f>IFERROR(__xludf.DUMMYFUNCTION("if(iserror(match(true,J165:AN165,0)),0,len(index(split(substitute(substitute(join("","",J165:AN165)&amp;"","",""TRUE,"",""x""),""FALSE,"","",""),"",""),,counta(split(substitute(substitute(join("","",J165:AN165)&amp;"","",""TRUE,"",""x""),""FALSE,"","",""),"",""))"&amp;")))"),0.0)</f>
        <v>0</v>
      </c>
      <c r="AR165" s="25" t="str">
        <f>IFERROR(__xludf.DUMMYFUNCTION("arrayformula( if( sum(J165:AN165 + 0), max( len( split( concatenate( left(J165:AN165) ), ""F"" ) ) ), ""0"" ) )"),"0")</f>
        <v>0</v>
      </c>
      <c r="AS165" s="26">
        <v>20.0</v>
      </c>
      <c r="AT165" s="27">
        <f t="shared" si="97"/>
        <v>0</v>
      </c>
    </row>
    <row r="166">
      <c r="A166" s="31">
        <f t="shared" ref="A166:A170" si="99">A165+1</f>
        <v>32</v>
      </c>
      <c r="B166" s="30">
        <f t="shared" ref="B166:B170" si="100">H165+1</f>
        <v>46237</v>
      </c>
      <c r="C166" s="30">
        <f t="shared" ref="C166:H166" si="98">B166+1</f>
        <v>46238</v>
      </c>
      <c r="D166" s="30">
        <f t="shared" si="98"/>
        <v>46239</v>
      </c>
      <c r="E166" s="30">
        <f t="shared" si="98"/>
        <v>46240</v>
      </c>
      <c r="F166" s="30">
        <f t="shared" si="98"/>
        <v>46241</v>
      </c>
      <c r="G166" s="30">
        <f t="shared" si="98"/>
        <v>46242</v>
      </c>
      <c r="H166" s="30">
        <f t="shared" si="98"/>
        <v>46243</v>
      </c>
      <c r="I166" s="6" t="s">
        <v>11</v>
      </c>
      <c r="J166" s="38" t="b">
        <v>0</v>
      </c>
      <c r="K166" s="38" t="b">
        <v>0</v>
      </c>
      <c r="L166" s="38" t="b">
        <v>0</v>
      </c>
      <c r="M166" s="38" t="b">
        <v>0</v>
      </c>
      <c r="N166" s="38" t="b">
        <v>0</v>
      </c>
      <c r="O166" s="38" t="b">
        <v>0</v>
      </c>
      <c r="P166" s="38" t="b">
        <v>0</v>
      </c>
      <c r="Q166" s="38" t="b">
        <v>0</v>
      </c>
      <c r="R166" s="38" t="b">
        <v>0</v>
      </c>
      <c r="S166" s="38" t="b">
        <v>0</v>
      </c>
      <c r="T166" s="38" t="b">
        <v>0</v>
      </c>
      <c r="U166" s="38" t="b">
        <v>0</v>
      </c>
      <c r="V166" s="38" t="b">
        <v>0</v>
      </c>
      <c r="W166" s="38" t="b">
        <v>0</v>
      </c>
      <c r="X166" s="38" t="b">
        <v>0</v>
      </c>
      <c r="Y166" s="38" t="b">
        <v>0</v>
      </c>
      <c r="Z166" s="38" t="b">
        <v>0</v>
      </c>
      <c r="AA166" s="38" t="b">
        <v>0</v>
      </c>
      <c r="AB166" s="38" t="b">
        <v>0</v>
      </c>
      <c r="AC166" s="38" t="b">
        <v>0</v>
      </c>
      <c r="AD166" s="38" t="b">
        <v>0</v>
      </c>
      <c r="AE166" s="38" t="b">
        <v>0</v>
      </c>
      <c r="AF166" s="38" t="b">
        <v>0</v>
      </c>
      <c r="AG166" s="38" t="b">
        <v>0</v>
      </c>
      <c r="AH166" s="38" t="b">
        <v>0</v>
      </c>
      <c r="AI166" s="38" t="b">
        <v>0</v>
      </c>
      <c r="AJ166" s="38" t="b">
        <v>0</v>
      </c>
      <c r="AK166" s="38" t="b">
        <v>0</v>
      </c>
      <c r="AL166" s="38" t="b">
        <v>0</v>
      </c>
      <c r="AM166" s="38" t="b">
        <v>0</v>
      </c>
      <c r="AN166" s="38" t="b">
        <v>0</v>
      </c>
      <c r="AO166" s="25">
        <f t="shared" si="96"/>
        <v>0</v>
      </c>
      <c r="AQ166" s="25">
        <f>IFERROR(__xludf.DUMMYFUNCTION("if(iserror(match(true,J166:AN166,0)),0,len(index(split(substitute(substitute(join("","",J166:AN166)&amp;"","",""TRUE,"",""x""),""FALSE,"","",""),"",""),,counta(split(substitute(substitute(join("","",J166:AN166)&amp;"","",""TRUE,"",""x""),""FALSE,"","",""),"",""))"&amp;")))"),0.0)</f>
        <v>0</v>
      </c>
      <c r="AR166" s="25" t="str">
        <f>IFERROR(__xludf.DUMMYFUNCTION("arrayformula( if( sum(J166:AN166 + 0), max( len( split( concatenate( left(J166:AN166) ), ""F"" ) ) ), ""0"" ) )"),"0")</f>
        <v>0</v>
      </c>
      <c r="AS166" s="26">
        <v>30.0</v>
      </c>
      <c r="AT166" s="27">
        <f t="shared" si="97"/>
        <v>0</v>
      </c>
    </row>
    <row r="167">
      <c r="A167" s="31">
        <f t="shared" si="99"/>
        <v>33</v>
      </c>
      <c r="B167" s="30">
        <f t="shared" si="100"/>
        <v>46244</v>
      </c>
      <c r="C167" s="30">
        <f t="shared" ref="C167:H167" si="101">B167+1</f>
        <v>46245</v>
      </c>
      <c r="D167" s="30">
        <f t="shared" si="101"/>
        <v>46246</v>
      </c>
      <c r="E167" s="30">
        <f t="shared" si="101"/>
        <v>46247</v>
      </c>
      <c r="F167" s="30">
        <f t="shared" si="101"/>
        <v>46248</v>
      </c>
      <c r="G167" s="30">
        <f t="shared" si="101"/>
        <v>46249</v>
      </c>
      <c r="H167" s="30">
        <f t="shared" si="101"/>
        <v>46250</v>
      </c>
      <c r="I167" s="6" t="s">
        <v>14</v>
      </c>
      <c r="J167" s="38" t="b">
        <v>0</v>
      </c>
      <c r="K167" s="38" t="b">
        <v>0</v>
      </c>
      <c r="L167" s="38" t="b">
        <v>0</v>
      </c>
      <c r="M167" s="38" t="b">
        <v>0</v>
      </c>
      <c r="N167" s="38" t="b">
        <v>0</v>
      </c>
      <c r="O167" s="38" t="b">
        <v>0</v>
      </c>
      <c r="P167" s="38" t="b">
        <v>0</v>
      </c>
      <c r="Q167" s="38" t="b">
        <v>0</v>
      </c>
      <c r="R167" s="38" t="b">
        <v>0</v>
      </c>
      <c r="S167" s="38" t="b">
        <v>0</v>
      </c>
      <c r="T167" s="38" t="b">
        <v>0</v>
      </c>
      <c r="U167" s="38" t="b">
        <v>0</v>
      </c>
      <c r="V167" s="38" t="b">
        <v>0</v>
      </c>
      <c r="W167" s="38" t="b">
        <v>0</v>
      </c>
      <c r="X167" s="38" t="b">
        <v>0</v>
      </c>
      <c r="Y167" s="38" t="b">
        <v>0</v>
      </c>
      <c r="Z167" s="38" t="b">
        <v>0</v>
      </c>
      <c r="AA167" s="38" t="b">
        <v>0</v>
      </c>
      <c r="AB167" s="38" t="b">
        <v>0</v>
      </c>
      <c r="AC167" s="38" t="b">
        <v>0</v>
      </c>
      <c r="AD167" s="38" t="b">
        <v>0</v>
      </c>
      <c r="AE167" s="38" t="b">
        <v>0</v>
      </c>
      <c r="AF167" s="38" t="b">
        <v>0</v>
      </c>
      <c r="AG167" s="38" t="b">
        <v>0</v>
      </c>
      <c r="AH167" s="38" t="b">
        <v>0</v>
      </c>
      <c r="AI167" s="38" t="b">
        <v>0</v>
      </c>
      <c r="AJ167" s="38" t="b">
        <v>0</v>
      </c>
      <c r="AK167" s="38" t="b">
        <v>0</v>
      </c>
      <c r="AL167" s="38" t="b">
        <v>0</v>
      </c>
      <c r="AM167" s="38" t="b">
        <v>0</v>
      </c>
      <c r="AN167" s="38" t="b">
        <v>0</v>
      </c>
      <c r="AO167" s="25">
        <f t="shared" si="96"/>
        <v>0</v>
      </c>
      <c r="AQ167" s="25">
        <f>IFERROR(__xludf.DUMMYFUNCTION("if(iserror(match(true,J167:AN167,0)),0,len(index(split(substitute(substitute(join("","",J167:AN167)&amp;"","",""TRUE,"",""x""),""FALSE,"","",""),"",""),,counta(split(substitute(substitute(join("","",J167:AN167)&amp;"","",""TRUE,"",""x""),""FALSE,"","",""),"",""))"&amp;")))"),0.0)</f>
        <v>0</v>
      </c>
      <c r="AR167" s="25" t="str">
        <f>IFERROR(__xludf.DUMMYFUNCTION("arrayformula( if( sum(J167:AN167 + 0), max( len( split( concatenate( left(J167:AN167) ), ""F"" ) ) ), ""0"" ) )"),"0")</f>
        <v>0</v>
      </c>
      <c r="AS167" s="26">
        <v>20.0</v>
      </c>
      <c r="AT167" s="27">
        <f t="shared" si="97"/>
        <v>0</v>
      </c>
    </row>
    <row r="168">
      <c r="A168" s="31">
        <f t="shared" si="99"/>
        <v>34</v>
      </c>
      <c r="B168" s="30">
        <f t="shared" si="100"/>
        <v>46251</v>
      </c>
      <c r="C168" s="30">
        <f t="shared" ref="C168:H168" si="102">B168+1</f>
        <v>46252</v>
      </c>
      <c r="D168" s="30">
        <f t="shared" si="102"/>
        <v>46253</v>
      </c>
      <c r="E168" s="30">
        <f t="shared" si="102"/>
        <v>46254</v>
      </c>
      <c r="F168" s="30">
        <f t="shared" si="102"/>
        <v>46255</v>
      </c>
      <c r="G168" s="30">
        <f t="shared" si="102"/>
        <v>46256</v>
      </c>
      <c r="H168" s="30">
        <f t="shared" si="102"/>
        <v>46257</v>
      </c>
      <c r="I168" s="6" t="s">
        <v>17</v>
      </c>
      <c r="J168" s="38" t="b">
        <v>0</v>
      </c>
      <c r="K168" s="38" t="b">
        <v>0</v>
      </c>
      <c r="L168" s="38" t="b">
        <v>0</v>
      </c>
      <c r="M168" s="38" t="b">
        <v>0</v>
      </c>
      <c r="N168" s="38" t="b">
        <v>0</v>
      </c>
      <c r="O168" s="38" t="b">
        <v>0</v>
      </c>
      <c r="P168" s="38" t="b">
        <v>0</v>
      </c>
      <c r="Q168" s="38" t="b">
        <v>0</v>
      </c>
      <c r="R168" s="38" t="b">
        <v>0</v>
      </c>
      <c r="S168" s="38" t="b">
        <v>0</v>
      </c>
      <c r="T168" s="38" t="b">
        <v>0</v>
      </c>
      <c r="U168" s="38" t="b">
        <v>0</v>
      </c>
      <c r="V168" s="38" t="b">
        <v>0</v>
      </c>
      <c r="W168" s="38" t="b">
        <v>0</v>
      </c>
      <c r="X168" s="38" t="b">
        <v>0</v>
      </c>
      <c r="Y168" s="38" t="b">
        <v>0</v>
      </c>
      <c r="Z168" s="38" t="b">
        <v>0</v>
      </c>
      <c r="AA168" s="38" t="b">
        <v>0</v>
      </c>
      <c r="AB168" s="38" t="b">
        <v>0</v>
      </c>
      <c r="AC168" s="38" t="b">
        <v>0</v>
      </c>
      <c r="AD168" s="38" t="b">
        <v>0</v>
      </c>
      <c r="AE168" s="38" t="b">
        <v>0</v>
      </c>
      <c r="AF168" s="38" t="b">
        <v>0</v>
      </c>
      <c r="AG168" s="38" t="b">
        <v>0</v>
      </c>
      <c r="AH168" s="38" t="b">
        <v>0</v>
      </c>
      <c r="AI168" s="38" t="b">
        <v>0</v>
      </c>
      <c r="AJ168" s="38" t="b">
        <v>0</v>
      </c>
      <c r="AK168" s="38" t="b">
        <v>0</v>
      </c>
      <c r="AL168" s="38" t="b">
        <v>0</v>
      </c>
      <c r="AM168" s="38" t="b">
        <v>0</v>
      </c>
      <c r="AN168" s="38" t="b">
        <v>0</v>
      </c>
      <c r="AO168" s="25">
        <f t="shared" si="96"/>
        <v>0</v>
      </c>
      <c r="AQ168" s="25">
        <f>IFERROR(__xludf.DUMMYFUNCTION("if(iserror(match(true,J168:AN168,0)),0,len(index(split(substitute(substitute(join("","",J168:AN168)&amp;"","",""TRUE,"",""x""),""FALSE,"","",""),"",""),,counta(split(substitute(substitute(join("","",J168:AN168)&amp;"","",""TRUE,"",""x""),""FALSE,"","",""),"",""))"&amp;")))"),0.0)</f>
        <v>0</v>
      </c>
      <c r="AR168" s="25" t="str">
        <f>IFERROR(__xludf.DUMMYFUNCTION("arrayformula( if( sum(J168:AN168 + 0), max( len( split( concatenate( left(J168:AN168) ), ""F"" ) ) ), ""0"" ) )"),"0")</f>
        <v>0</v>
      </c>
      <c r="AS168" s="26">
        <v>20.0</v>
      </c>
      <c r="AT168" s="27">
        <f t="shared" si="97"/>
        <v>0</v>
      </c>
    </row>
    <row r="169">
      <c r="A169" s="31">
        <f t="shared" si="99"/>
        <v>35</v>
      </c>
      <c r="B169" s="30">
        <f t="shared" si="100"/>
        <v>46258</v>
      </c>
      <c r="C169" s="30">
        <f t="shared" ref="C169:H169" si="103">B169+1</f>
        <v>46259</v>
      </c>
      <c r="D169" s="30">
        <f t="shared" si="103"/>
        <v>46260</v>
      </c>
      <c r="E169" s="30">
        <f t="shared" si="103"/>
        <v>46261</v>
      </c>
      <c r="F169" s="30">
        <f t="shared" si="103"/>
        <v>46262</v>
      </c>
      <c r="G169" s="30">
        <f t="shared" si="103"/>
        <v>46263</v>
      </c>
      <c r="H169" s="30">
        <f t="shared" si="103"/>
        <v>46264</v>
      </c>
      <c r="I169" s="6" t="s">
        <v>20</v>
      </c>
      <c r="J169" s="38" t="b">
        <v>0</v>
      </c>
      <c r="K169" s="38" t="b">
        <v>0</v>
      </c>
      <c r="L169" s="38" t="b">
        <v>0</v>
      </c>
      <c r="M169" s="38" t="b">
        <v>0</v>
      </c>
      <c r="N169" s="38" t="b">
        <v>0</v>
      </c>
      <c r="O169" s="38" t="b">
        <v>0</v>
      </c>
      <c r="P169" s="38" t="b">
        <v>0</v>
      </c>
      <c r="Q169" s="38" t="b">
        <v>0</v>
      </c>
      <c r="R169" s="38" t="b">
        <v>0</v>
      </c>
      <c r="S169" s="38" t="b">
        <v>0</v>
      </c>
      <c r="T169" s="38" t="b">
        <v>0</v>
      </c>
      <c r="U169" s="38" t="b">
        <v>0</v>
      </c>
      <c r="V169" s="38" t="b">
        <v>0</v>
      </c>
      <c r="W169" s="38" t="b">
        <v>0</v>
      </c>
      <c r="X169" s="38" t="b">
        <v>0</v>
      </c>
      <c r="Y169" s="38" t="b">
        <v>0</v>
      </c>
      <c r="Z169" s="38" t="b">
        <v>0</v>
      </c>
      <c r="AA169" s="38" t="b">
        <v>0</v>
      </c>
      <c r="AB169" s="38" t="b">
        <v>0</v>
      </c>
      <c r="AC169" s="38" t="b">
        <v>0</v>
      </c>
      <c r="AD169" s="38" t="b">
        <v>0</v>
      </c>
      <c r="AE169" s="38" t="b">
        <v>0</v>
      </c>
      <c r="AF169" s="38" t="b">
        <v>0</v>
      </c>
      <c r="AG169" s="38" t="b">
        <v>0</v>
      </c>
      <c r="AH169" s="38" t="b">
        <v>0</v>
      </c>
      <c r="AI169" s="38" t="b">
        <v>0</v>
      </c>
      <c r="AJ169" s="38" t="b">
        <v>0</v>
      </c>
      <c r="AK169" s="38" t="b">
        <v>0</v>
      </c>
      <c r="AL169" s="38" t="b">
        <v>0</v>
      </c>
      <c r="AM169" s="38" t="b">
        <v>0</v>
      </c>
      <c r="AN169" s="24" t="b">
        <v>0</v>
      </c>
      <c r="AO169" s="25">
        <f t="shared" si="96"/>
        <v>0</v>
      </c>
      <c r="AQ169" s="25">
        <f>IFERROR(__xludf.DUMMYFUNCTION("if(iserror(match(true,J169:AN169,0)),0,len(index(split(substitute(substitute(join("","",J169:AN169)&amp;"","",""TRUE,"",""x""),""FALSE,"","",""),"",""),,counta(split(substitute(substitute(join("","",J169:AN169)&amp;"","",""TRUE,"",""x""),""FALSE,"","",""),"",""))"&amp;")))"),0.0)</f>
        <v>0</v>
      </c>
      <c r="AR169" s="25" t="str">
        <f>IFERROR(__xludf.DUMMYFUNCTION("arrayformula( if( sum(J169:AN169 + 0), max( len( split( concatenate( left(J169:AN169) ), ""F"" ) ) ), ""0"" ) )"),"0")</f>
        <v>0</v>
      </c>
      <c r="AS169" s="26">
        <v>15.0</v>
      </c>
      <c r="AT169" s="27">
        <f t="shared" si="97"/>
        <v>0</v>
      </c>
    </row>
    <row r="170">
      <c r="A170" s="31">
        <f t="shared" si="99"/>
        <v>36</v>
      </c>
      <c r="B170" s="30">
        <f t="shared" si="100"/>
        <v>46265</v>
      </c>
      <c r="C170" s="30">
        <f t="shared" ref="C170:H170" si="104">B170+1</f>
        <v>46266</v>
      </c>
      <c r="D170" s="30">
        <f t="shared" si="104"/>
        <v>46267</v>
      </c>
      <c r="E170" s="30">
        <f t="shared" si="104"/>
        <v>46268</v>
      </c>
      <c r="F170" s="30">
        <f t="shared" si="104"/>
        <v>46269</v>
      </c>
      <c r="G170" s="30">
        <f t="shared" si="104"/>
        <v>46270</v>
      </c>
      <c r="H170" s="30">
        <f t="shared" si="104"/>
        <v>46271</v>
      </c>
      <c r="I170" s="6"/>
      <c r="J170" s="38" t="b">
        <v>0</v>
      </c>
      <c r="K170" s="38" t="b">
        <v>0</v>
      </c>
      <c r="L170" s="38" t="b">
        <v>0</v>
      </c>
      <c r="M170" s="38" t="b">
        <v>0</v>
      </c>
      <c r="N170" s="38" t="b">
        <v>0</v>
      </c>
      <c r="O170" s="38" t="b">
        <v>0</v>
      </c>
      <c r="P170" s="38" t="b">
        <v>0</v>
      </c>
      <c r="Q170" s="38" t="b">
        <v>0</v>
      </c>
      <c r="R170" s="38" t="b">
        <v>0</v>
      </c>
      <c r="S170" s="38" t="b">
        <v>0</v>
      </c>
      <c r="T170" s="38" t="b">
        <v>0</v>
      </c>
      <c r="U170" s="38" t="b">
        <v>0</v>
      </c>
      <c r="V170" s="38" t="b">
        <v>0</v>
      </c>
      <c r="W170" s="38" t="b">
        <v>0</v>
      </c>
      <c r="X170" s="38" t="b">
        <v>0</v>
      </c>
      <c r="Y170" s="38" t="b">
        <v>0</v>
      </c>
      <c r="Z170" s="38" t="b">
        <v>0</v>
      </c>
      <c r="AA170" s="38" t="b">
        <v>0</v>
      </c>
      <c r="AB170" s="38" t="b">
        <v>0</v>
      </c>
      <c r="AC170" s="38" t="b">
        <v>0</v>
      </c>
      <c r="AD170" s="38" t="b">
        <v>0</v>
      </c>
      <c r="AE170" s="38" t="b">
        <v>0</v>
      </c>
      <c r="AF170" s="38" t="b">
        <v>0</v>
      </c>
      <c r="AG170" s="38" t="b">
        <v>0</v>
      </c>
      <c r="AH170" s="38" t="b">
        <v>0</v>
      </c>
      <c r="AI170" s="38" t="b">
        <v>0</v>
      </c>
      <c r="AJ170" s="38" t="b">
        <v>0</v>
      </c>
      <c r="AK170" s="38" t="b">
        <v>0</v>
      </c>
      <c r="AL170" s="38" t="b">
        <v>0</v>
      </c>
      <c r="AM170" s="38" t="b">
        <v>0</v>
      </c>
      <c r="AN170" s="38" t="b">
        <v>0</v>
      </c>
      <c r="AO170" s="25">
        <f t="shared" si="96"/>
        <v>0</v>
      </c>
      <c r="AQ170" s="25">
        <f>IFERROR(__xludf.DUMMYFUNCTION("if(iserror(match(true,J170:AN170,0)),0,len(index(split(substitute(substitute(join("","",J170:AN170)&amp;"","",""TRUE,"",""x""),""FALSE,"","",""),"",""),,counta(split(substitute(substitute(join("","",J170:AN170)&amp;"","",""TRUE,"",""x""),""FALSE,"","",""),"",""))"&amp;")))"),0.0)</f>
        <v>0</v>
      </c>
      <c r="AR170" s="25" t="str">
        <f>IFERROR(__xludf.DUMMYFUNCTION("arrayformula( if( sum(J170:AN170 + 0), max( len( split( concatenate( left(J170:AN170) ), ""F"" ) ) ), ""0"" ) )"),"0")</f>
        <v>0</v>
      </c>
      <c r="AS170" s="26">
        <v>15.0</v>
      </c>
      <c r="AT170" s="27">
        <f t="shared" si="97"/>
        <v>0</v>
      </c>
    </row>
    <row r="171" hidden="1">
      <c r="A171" s="39"/>
      <c r="B171" s="40"/>
      <c r="C171" s="40"/>
      <c r="D171" s="40"/>
      <c r="E171" s="40"/>
      <c r="F171" s="41"/>
      <c r="G171" s="41"/>
      <c r="H171" s="41"/>
      <c r="I171" s="6"/>
      <c r="J171" s="38" t="b">
        <v>0</v>
      </c>
      <c r="K171" s="38" t="b">
        <v>0</v>
      </c>
      <c r="L171" s="38" t="b">
        <v>0</v>
      </c>
      <c r="M171" s="38" t="b">
        <v>0</v>
      </c>
      <c r="N171" s="38" t="b">
        <v>0</v>
      </c>
      <c r="O171" s="38" t="b">
        <v>0</v>
      </c>
      <c r="P171" s="38" t="b">
        <v>0</v>
      </c>
      <c r="Q171" s="38" t="b">
        <v>0</v>
      </c>
      <c r="R171" s="38" t="b">
        <v>0</v>
      </c>
      <c r="S171" s="38" t="b">
        <v>0</v>
      </c>
      <c r="T171" s="38" t="b">
        <v>0</v>
      </c>
      <c r="U171" s="38" t="b">
        <v>0</v>
      </c>
      <c r="V171" s="38" t="b">
        <v>0</v>
      </c>
      <c r="W171" s="38" t="b">
        <v>0</v>
      </c>
      <c r="X171" s="38" t="b">
        <v>0</v>
      </c>
      <c r="Y171" s="38" t="b">
        <v>0</v>
      </c>
      <c r="Z171" s="38" t="b">
        <v>0</v>
      </c>
      <c r="AA171" s="38" t="b">
        <v>0</v>
      </c>
      <c r="AB171" s="38" t="b">
        <v>0</v>
      </c>
      <c r="AC171" s="38" t="b">
        <v>0</v>
      </c>
      <c r="AD171" s="38" t="b">
        <v>0</v>
      </c>
      <c r="AE171" s="38" t="b">
        <v>0</v>
      </c>
      <c r="AF171" s="38" t="b">
        <v>0</v>
      </c>
      <c r="AG171" s="38" t="b">
        <v>0</v>
      </c>
      <c r="AH171" s="38" t="b">
        <v>0</v>
      </c>
      <c r="AI171" s="38" t="b">
        <v>0</v>
      </c>
      <c r="AJ171" s="38" t="b">
        <v>0</v>
      </c>
      <c r="AK171" s="38" t="b">
        <v>0</v>
      </c>
      <c r="AL171" s="38" t="b">
        <v>0</v>
      </c>
      <c r="AM171" s="38" t="b">
        <v>0</v>
      </c>
      <c r="AN171" s="38" t="b">
        <v>0</v>
      </c>
      <c r="AO171" s="25">
        <f t="shared" si="96"/>
        <v>0</v>
      </c>
      <c r="AQ171" s="25">
        <f>IFERROR(__xludf.DUMMYFUNCTION("if(iserror(match(true,J171:AN171,0)),0,len(index(split(substitute(substitute(join("","",J171:AN171)&amp;"","",""TRUE,"",""x""),""FALSE,"","",""),"",""),,counta(split(substitute(substitute(join("","",J171:AN171)&amp;"","",""TRUE,"",""x""),""FALSE,"","",""),"",""))"&amp;")))"),0.0)</f>
        <v>0</v>
      </c>
      <c r="AR171" s="25" t="str">
        <f>IFERROR(__xludf.DUMMYFUNCTION("arrayformula( if( sum(J171:AN171 + 0), max( len( split( concatenate( left(J171:AN171) ), ""F"" ) ) ), ""0"" ) )"),"0")</f>
        <v>0</v>
      </c>
      <c r="AS171" s="26">
        <v>15.0</v>
      </c>
      <c r="AT171" s="27">
        <f t="shared" si="97"/>
        <v>0</v>
      </c>
    </row>
    <row r="172" hidden="1">
      <c r="A172" s="39"/>
      <c r="B172" s="40"/>
      <c r="C172" s="40"/>
      <c r="D172" s="40"/>
      <c r="E172" s="40"/>
      <c r="F172" s="41"/>
      <c r="G172" s="41"/>
      <c r="H172" s="41"/>
      <c r="I172" s="6"/>
      <c r="J172" s="38" t="b">
        <v>0</v>
      </c>
      <c r="K172" s="38" t="b">
        <v>0</v>
      </c>
      <c r="L172" s="38" t="b">
        <v>0</v>
      </c>
      <c r="M172" s="38" t="b">
        <v>0</v>
      </c>
      <c r="N172" s="38" t="b">
        <v>0</v>
      </c>
      <c r="O172" s="38" t="b">
        <v>0</v>
      </c>
      <c r="P172" s="38" t="b">
        <v>0</v>
      </c>
      <c r="Q172" s="38" t="b">
        <v>0</v>
      </c>
      <c r="R172" s="38" t="b">
        <v>0</v>
      </c>
      <c r="S172" s="38" t="b">
        <v>0</v>
      </c>
      <c r="T172" s="38" t="b">
        <v>0</v>
      </c>
      <c r="U172" s="38" t="b">
        <v>0</v>
      </c>
      <c r="V172" s="38" t="b">
        <v>0</v>
      </c>
      <c r="W172" s="38" t="b">
        <v>0</v>
      </c>
      <c r="X172" s="38" t="b">
        <v>0</v>
      </c>
      <c r="Y172" s="38" t="b">
        <v>0</v>
      </c>
      <c r="Z172" s="38" t="b">
        <v>0</v>
      </c>
      <c r="AA172" s="38" t="b">
        <v>0</v>
      </c>
      <c r="AB172" s="38" t="b">
        <v>0</v>
      </c>
      <c r="AC172" s="38" t="b">
        <v>0</v>
      </c>
      <c r="AD172" s="38" t="b">
        <v>0</v>
      </c>
      <c r="AE172" s="38" t="b">
        <v>0</v>
      </c>
      <c r="AF172" s="38" t="b">
        <v>0</v>
      </c>
      <c r="AG172" s="38" t="b">
        <v>0</v>
      </c>
      <c r="AH172" s="38" t="b">
        <v>0</v>
      </c>
      <c r="AI172" s="38" t="b">
        <v>0</v>
      </c>
      <c r="AJ172" s="38" t="b">
        <v>0</v>
      </c>
      <c r="AK172" s="38" t="b">
        <v>0</v>
      </c>
      <c r="AL172" s="38" t="b">
        <v>0</v>
      </c>
      <c r="AM172" s="38" t="b">
        <v>0</v>
      </c>
      <c r="AN172" s="38" t="b">
        <v>0</v>
      </c>
      <c r="AO172" s="25">
        <f t="shared" si="96"/>
        <v>0</v>
      </c>
      <c r="AQ172" s="25">
        <f>IFERROR(__xludf.DUMMYFUNCTION("if(iserror(match(true,J172:AN172,0)),0,len(index(split(substitute(substitute(join("","",J172:AN172)&amp;"","",""TRUE,"",""x""),""FALSE,"","",""),"",""),,counta(split(substitute(substitute(join("","",J172:AN172)&amp;"","",""TRUE,"",""x""),""FALSE,"","",""),"",""))"&amp;")))"),0.0)</f>
        <v>0</v>
      </c>
      <c r="AR172" s="25" t="str">
        <f>IFERROR(__xludf.DUMMYFUNCTION("arrayformula( if( sum(J172:AN172 + 0), max( len( split( concatenate( left(J172:AN172) ), ""F"" ) ) ), ""0"" ) )"),"0")</f>
        <v>0</v>
      </c>
      <c r="AS172" s="26">
        <v>15.0</v>
      </c>
      <c r="AT172" s="27">
        <f t="shared" si="97"/>
        <v>0</v>
      </c>
    </row>
    <row r="173" hidden="1">
      <c r="A173" s="39"/>
      <c r="B173" s="40"/>
      <c r="C173" s="40"/>
      <c r="D173" s="40"/>
      <c r="E173" s="40"/>
      <c r="F173" s="41"/>
      <c r="G173" s="41"/>
      <c r="H173" s="41"/>
      <c r="I173" s="6"/>
      <c r="J173" s="38" t="b">
        <v>0</v>
      </c>
      <c r="K173" s="38" t="b">
        <v>0</v>
      </c>
      <c r="L173" s="38" t="b">
        <v>0</v>
      </c>
      <c r="M173" s="38" t="b">
        <v>0</v>
      </c>
      <c r="N173" s="38" t="b">
        <v>0</v>
      </c>
      <c r="O173" s="38" t="b">
        <v>0</v>
      </c>
      <c r="P173" s="38" t="b">
        <v>0</v>
      </c>
      <c r="Q173" s="38" t="b">
        <v>0</v>
      </c>
      <c r="R173" s="38" t="b">
        <v>0</v>
      </c>
      <c r="S173" s="38" t="b">
        <v>0</v>
      </c>
      <c r="T173" s="38" t="b">
        <v>0</v>
      </c>
      <c r="U173" s="38" t="b">
        <v>0</v>
      </c>
      <c r="V173" s="38" t="b">
        <v>0</v>
      </c>
      <c r="W173" s="38" t="b">
        <v>0</v>
      </c>
      <c r="X173" s="38" t="b">
        <v>0</v>
      </c>
      <c r="Y173" s="38" t="b">
        <v>0</v>
      </c>
      <c r="Z173" s="38" t="b">
        <v>0</v>
      </c>
      <c r="AA173" s="38" t="b">
        <v>0</v>
      </c>
      <c r="AB173" s="38" t="b">
        <v>0</v>
      </c>
      <c r="AC173" s="38" t="b">
        <v>0</v>
      </c>
      <c r="AD173" s="38" t="b">
        <v>0</v>
      </c>
      <c r="AE173" s="38" t="b">
        <v>0</v>
      </c>
      <c r="AF173" s="38" t="b">
        <v>0</v>
      </c>
      <c r="AG173" s="38" t="b">
        <v>0</v>
      </c>
      <c r="AH173" s="38" t="b">
        <v>0</v>
      </c>
      <c r="AI173" s="38" t="b">
        <v>0</v>
      </c>
      <c r="AJ173" s="38" t="b">
        <v>0</v>
      </c>
      <c r="AK173" s="38" t="b">
        <v>0</v>
      </c>
      <c r="AL173" s="38" t="b">
        <v>0</v>
      </c>
      <c r="AM173" s="38" t="b">
        <v>0</v>
      </c>
      <c r="AN173" s="38" t="b">
        <v>0</v>
      </c>
      <c r="AO173" s="25">
        <f t="shared" si="96"/>
        <v>0</v>
      </c>
      <c r="AQ173" s="25">
        <f>IFERROR(__xludf.DUMMYFUNCTION("if(iserror(match(true,J173:AN173,0)),0,len(index(split(substitute(substitute(join("","",J173:AN173)&amp;"","",""TRUE,"",""x""),""FALSE,"","",""),"",""),,counta(split(substitute(substitute(join("","",J173:AN173)&amp;"","",""TRUE,"",""x""),""FALSE,"","",""),"",""))"&amp;")))"),0.0)</f>
        <v>0</v>
      </c>
      <c r="AR173" s="25" t="str">
        <f>IFERROR(__xludf.DUMMYFUNCTION("arrayformula( if( sum(J173:AN173 + 0), max( len( split( concatenate( left(J173:AN173) ), ""F"" ) ) ), ""0"" ) )"),"0")</f>
        <v>0</v>
      </c>
      <c r="AS173" s="26">
        <v>15.0</v>
      </c>
      <c r="AT173" s="27">
        <f t="shared" si="97"/>
        <v>0</v>
      </c>
    </row>
    <row r="174" hidden="1">
      <c r="A174" s="39"/>
      <c r="B174" s="40"/>
      <c r="C174" s="40"/>
      <c r="D174" s="40"/>
      <c r="E174" s="40"/>
      <c r="F174" s="41"/>
      <c r="G174" s="41"/>
      <c r="H174" s="41"/>
      <c r="I174" s="6"/>
      <c r="J174" s="38" t="b">
        <v>0</v>
      </c>
      <c r="K174" s="38" t="b">
        <v>0</v>
      </c>
      <c r="L174" s="38" t="b">
        <v>0</v>
      </c>
      <c r="M174" s="38" t="b">
        <v>0</v>
      </c>
      <c r="N174" s="38" t="b">
        <v>0</v>
      </c>
      <c r="O174" s="38" t="b">
        <v>0</v>
      </c>
      <c r="P174" s="38" t="b">
        <v>0</v>
      </c>
      <c r="Q174" s="38" t="b">
        <v>0</v>
      </c>
      <c r="R174" s="38" t="b">
        <v>0</v>
      </c>
      <c r="S174" s="38" t="b">
        <v>0</v>
      </c>
      <c r="T174" s="38" t="b">
        <v>0</v>
      </c>
      <c r="U174" s="38" t="b">
        <v>0</v>
      </c>
      <c r="V174" s="38" t="b">
        <v>0</v>
      </c>
      <c r="W174" s="38" t="b">
        <v>0</v>
      </c>
      <c r="X174" s="38" t="b">
        <v>0</v>
      </c>
      <c r="Y174" s="38" t="b">
        <v>0</v>
      </c>
      <c r="Z174" s="38" t="b">
        <v>0</v>
      </c>
      <c r="AA174" s="38" t="b">
        <v>0</v>
      </c>
      <c r="AB174" s="38" t="b">
        <v>0</v>
      </c>
      <c r="AC174" s="38" t="b">
        <v>0</v>
      </c>
      <c r="AD174" s="38" t="b">
        <v>0</v>
      </c>
      <c r="AE174" s="38" t="b">
        <v>0</v>
      </c>
      <c r="AF174" s="38" t="b">
        <v>0</v>
      </c>
      <c r="AG174" s="38" t="b">
        <v>0</v>
      </c>
      <c r="AH174" s="38" t="b">
        <v>0</v>
      </c>
      <c r="AI174" s="38" t="b">
        <v>0</v>
      </c>
      <c r="AJ174" s="38" t="b">
        <v>0</v>
      </c>
      <c r="AK174" s="38" t="b">
        <v>0</v>
      </c>
      <c r="AL174" s="38" t="b">
        <v>0</v>
      </c>
      <c r="AM174" s="38" t="b">
        <v>0</v>
      </c>
      <c r="AN174" s="38" t="b">
        <v>0</v>
      </c>
      <c r="AO174" s="25">
        <f t="shared" si="96"/>
        <v>0</v>
      </c>
      <c r="AQ174" s="25">
        <f>IFERROR(__xludf.DUMMYFUNCTION("if(iserror(match(true,J174:AN174,0)),0,len(index(split(substitute(substitute(join("","",J174:AN174)&amp;"","",""TRUE,"",""x""),""FALSE,"","",""),"",""),,counta(split(substitute(substitute(join("","",J174:AN174)&amp;"","",""TRUE,"",""x""),""FALSE,"","",""),"",""))"&amp;")))"),0.0)</f>
        <v>0</v>
      </c>
      <c r="AR174" s="25" t="str">
        <f>IFERROR(__xludf.DUMMYFUNCTION("arrayformula( if( sum(J174:AN174 + 0), max( len( split( concatenate( left(J174:AN174) ), ""F"" ) ) ), ""0"" ) )"),"0")</f>
        <v>0</v>
      </c>
      <c r="AS174" s="26">
        <v>15.0</v>
      </c>
      <c r="AT174" s="27">
        <f t="shared" si="97"/>
        <v>0</v>
      </c>
    </row>
    <row r="175" hidden="1">
      <c r="A175" s="39"/>
      <c r="B175" s="40"/>
      <c r="C175" s="40"/>
      <c r="D175" s="40"/>
      <c r="E175" s="40"/>
      <c r="F175" s="41"/>
      <c r="G175" s="41"/>
      <c r="H175" s="41"/>
      <c r="I175" s="6"/>
      <c r="J175" s="38" t="b">
        <v>0</v>
      </c>
      <c r="K175" s="38" t="b">
        <v>0</v>
      </c>
      <c r="L175" s="38" t="b">
        <v>0</v>
      </c>
      <c r="M175" s="38" t="b">
        <v>0</v>
      </c>
      <c r="N175" s="38" t="b">
        <v>0</v>
      </c>
      <c r="O175" s="38" t="b">
        <v>0</v>
      </c>
      <c r="P175" s="38" t="b">
        <v>0</v>
      </c>
      <c r="Q175" s="38" t="b">
        <v>0</v>
      </c>
      <c r="R175" s="38" t="b">
        <v>0</v>
      </c>
      <c r="S175" s="38" t="b">
        <v>0</v>
      </c>
      <c r="T175" s="38" t="b">
        <v>0</v>
      </c>
      <c r="U175" s="38" t="b">
        <v>0</v>
      </c>
      <c r="V175" s="38" t="b">
        <v>0</v>
      </c>
      <c r="W175" s="38" t="b">
        <v>0</v>
      </c>
      <c r="X175" s="38" t="b">
        <v>0</v>
      </c>
      <c r="Y175" s="38" t="b">
        <v>0</v>
      </c>
      <c r="Z175" s="38" t="b">
        <v>0</v>
      </c>
      <c r="AA175" s="38" t="b">
        <v>0</v>
      </c>
      <c r="AB175" s="38" t="b">
        <v>0</v>
      </c>
      <c r="AC175" s="38" t="b">
        <v>0</v>
      </c>
      <c r="AD175" s="38" t="b">
        <v>0</v>
      </c>
      <c r="AE175" s="38" t="b">
        <v>0</v>
      </c>
      <c r="AF175" s="38" t="b">
        <v>0</v>
      </c>
      <c r="AG175" s="38" t="b">
        <v>0</v>
      </c>
      <c r="AH175" s="38" t="b">
        <v>0</v>
      </c>
      <c r="AI175" s="38" t="b">
        <v>0</v>
      </c>
      <c r="AJ175" s="38" t="b">
        <v>0</v>
      </c>
      <c r="AK175" s="38" t="b">
        <v>0</v>
      </c>
      <c r="AL175" s="38" t="b">
        <v>0</v>
      </c>
      <c r="AM175" s="38" t="b">
        <v>0</v>
      </c>
      <c r="AN175" s="38" t="b">
        <v>0</v>
      </c>
      <c r="AO175" s="25">
        <f t="shared" si="96"/>
        <v>0</v>
      </c>
      <c r="AQ175" s="25">
        <f>IFERROR(__xludf.DUMMYFUNCTION("if(iserror(match(true,J175:AN175,0)),0,len(index(split(substitute(substitute(join("","",J175:AN175)&amp;"","",""TRUE,"",""x""),""FALSE,"","",""),"",""),,counta(split(substitute(substitute(join("","",J175:AN175)&amp;"","",""TRUE,"",""x""),""FALSE,"","",""),"",""))"&amp;")))"),0.0)</f>
        <v>0</v>
      </c>
      <c r="AR175" s="25" t="str">
        <f>IFERROR(__xludf.DUMMYFUNCTION("arrayformula( if( sum(J175:AN175 + 0), max( len( split( concatenate( left(J175:AN175) ), ""F"" ) ) ), ""0"" ) )"),"0")</f>
        <v>0</v>
      </c>
      <c r="AS175" s="26">
        <v>15.0</v>
      </c>
      <c r="AT175" s="27">
        <f t="shared" si="97"/>
        <v>0</v>
      </c>
    </row>
    <row r="176" hidden="1">
      <c r="A176" s="39"/>
      <c r="B176" s="40"/>
      <c r="C176" s="40"/>
      <c r="D176" s="40"/>
      <c r="E176" s="40"/>
      <c r="F176" s="41"/>
      <c r="G176" s="41"/>
      <c r="H176" s="41"/>
      <c r="I176" s="6"/>
      <c r="J176" s="38" t="b">
        <v>0</v>
      </c>
      <c r="K176" s="38" t="b">
        <v>0</v>
      </c>
      <c r="L176" s="38" t="b">
        <v>0</v>
      </c>
      <c r="M176" s="38" t="b">
        <v>0</v>
      </c>
      <c r="N176" s="38" t="b">
        <v>0</v>
      </c>
      <c r="O176" s="38" t="b">
        <v>0</v>
      </c>
      <c r="P176" s="38" t="b">
        <v>0</v>
      </c>
      <c r="Q176" s="38" t="b">
        <v>0</v>
      </c>
      <c r="R176" s="38" t="b">
        <v>0</v>
      </c>
      <c r="S176" s="38" t="b">
        <v>0</v>
      </c>
      <c r="T176" s="38" t="b">
        <v>0</v>
      </c>
      <c r="U176" s="38" t="b">
        <v>0</v>
      </c>
      <c r="V176" s="38" t="b">
        <v>0</v>
      </c>
      <c r="W176" s="38" t="b">
        <v>0</v>
      </c>
      <c r="X176" s="38" t="b">
        <v>0</v>
      </c>
      <c r="Y176" s="38" t="b">
        <v>0</v>
      </c>
      <c r="Z176" s="38" t="b">
        <v>0</v>
      </c>
      <c r="AA176" s="38" t="b">
        <v>0</v>
      </c>
      <c r="AB176" s="38" t="b">
        <v>0</v>
      </c>
      <c r="AC176" s="38" t="b">
        <v>0</v>
      </c>
      <c r="AD176" s="38" t="b">
        <v>0</v>
      </c>
      <c r="AE176" s="38" t="b">
        <v>0</v>
      </c>
      <c r="AF176" s="38" t="b">
        <v>0</v>
      </c>
      <c r="AG176" s="38" t="b">
        <v>0</v>
      </c>
      <c r="AH176" s="38" t="b">
        <v>0</v>
      </c>
      <c r="AI176" s="38" t="b">
        <v>0</v>
      </c>
      <c r="AJ176" s="38" t="b">
        <v>0</v>
      </c>
      <c r="AK176" s="38" t="b">
        <v>0</v>
      </c>
      <c r="AL176" s="38" t="b">
        <v>0</v>
      </c>
      <c r="AM176" s="38" t="b">
        <v>0</v>
      </c>
      <c r="AN176" s="38" t="b">
        <v>0</v>
      </c>
      <c r="AO176" s="25">
        <f t="shared" si="96"/>
        <v>0</v>
      </c>
      <c r="AQ176" s="25">
        <f>IFERROR(__xludf.DUMMYFUNCTION("if(iserror(match(true,J176:AN176,0)),0,len(index(split(substitute(substitute(join("","",J176:AN176)&amp;"","",""TRUE,"",""x""),""FALSE,"","",""),"",""),,counta(split(substitute(substitute(join("","",J176:AN176)&amp;"","",""TRUE,"",""x""),""FALSE,"","",""),"",""))"&amp;")))"),0.0)</f>
        <v>0</v>
      </c>
      <c r="AR176" s="25" t="str">
        <f>IFERROR(__xludf.DUMMYFUNCTION("arrayformula( if( sum(J176:AN176 + 0), max( len( split( concatenate( left(J176:AN176) ), ""F"" ) ) ), ""0"" ) )"),"0")</f>
        <v>0</v>
      </c>
      <c r="AS176" s="26">
        <v>15.0</v>
      </c>
      <c r="AT176" s="27">
        <f t="shared" si="97"/>
        <v>0</v>
      </c>
    </row>
    <row r="177" hidden="1">
      <c r="A177" s="39"/>
      <c r="B177" s="40"/>
      <c r="C177" s="40"/>
      <c r="D177" s="40"/>
      <c r="E177" s="40"/>
      <c r="F177" s="41"/>
      <c r="G177" s="41"/>
      <c r="H177" s="41"/>
      <c r="I177" s="6"/>
      <c r="J177" s="38" t="b">
        <v>0</v>
      </c>
      <c r="K177" s="38" t="b">
        <v>0</v>
      </c>
      <c r="L177" s="38" t="b">
        <v>0</v>
      </c>
      <c r="M177" s="38" t="b">
        <v>0</v>
      </c>
      <c r="N177" s="38" t="b">
        <v>0</v>
      </c>
      <c r="O177" s="38" t="b">
        <v>0</v>
      </c>
      <c r="P177" s="38" t="b">
        <v>0</v>
      </c>
      <c r="Q177" s="38" t="b">
        <v>0</v>
      </c>
      <c r="R177" s="38" t="b">
        <v>0</v>
      </c>
      <c r="S177" s="38" t="b">
        <v>0</v>
      </c>
      <c r="T177" s="38" t="b">
        <v>0</v>
      </c>
      <c r="U177" s="38" t="b">
        <v>0</v>
      </c>
      <c r="V177" s="38" t="b">
        <v>0</v>
      </c>
      <c r="W177" s="38" t="b">
        <v>0</v>
      </c>
      <c r="X177" s="38" t="b">
        <v>0</v>
      </c>
      <c r="Y177" s="38" t="b">
        <v>0</v>
      </c>
      <c r="Z177" s="38" t="b">
        <v>0</v>
      </c>
      <c r="AA177" s="38" t="b">
        <v>0</v>
      </c>
      <c r="AB177" s="38" t="b">
        <v>0</v>
      </c>
      <c r="AC177" s="38" t="b">
        <v>0</v>
      </c>
      <c r="AD177" s="38" t="b">
        <v>0</v>
      </c>
      <c r="AE177" s="38" t="b">
        <v>0</v>
      </c>
      <c r="AF177" s="38" t="b">
        <v>0</v>
      </c>
      <c r="AG177" s="38" t="b">
        <v>0</v>
      </c>
      <c r="AH177" s="38" t="b">
        <v>0</v>
      </c>
      <c r="AI177" s="38" t="b">
        <v>0</v>
      </c>
      <c r="AJ177" s="38" t="b">
        <v>0</v>
      </c>
      <c r="AK177" s="38" t="b">
        <v>0</v>
      </c>
      <c r="AL177" s="38" t="b">
        <v>0</v>
      </c>
      <c r="AM177" s="38" t="b">
        <v>0</v>
      </c>
      <c r="AN177" s="38" t="b">
        <v>0</v>
      </c>
      <c r="AO177" s="25">
        <f t="shared" si="96"/>
        <v>0</v>
      </c>
      <c r="AQ177" s="25">
        <f>IFERROR(__xludf.DUMMYFUNCTION("if(iserror(match(true,J177:AN177,0)),0,len(index(split(substitute(substitute(join("","",J177:AN177)&amp;"","",""TRUE,"",""x""),""FALSE,"","",""),"",""),,counta(split(substitute(substitute(join("","",J177:AN177)&amp;"","",""TRUE,"",""x""),""FALSE,"","",""),"",""))"&amp;")))"),0.0)</f>
        <v>0</v>
      </c>
      <c r="AR177" s="25" t="str">
        <f>IFERROR(__xludf.DUMMYFUNCTION("arrayformula( if( sum(J177:AN177 + 0), max( len( split( concatenate( left(J177:AN177) ), ""F"" ) ) ), ""0"" ) )"),"0")</f>
        <v>0</v>
      </c>
      <c r="AS177" s="26">
        <v>15.0</v>
      </c>
      <c r="AT177" s="27">
        <f t="shared" si="97"/>
        <v>0</v>
      </c>
    </row>
    <row r="178" hidden="1">
      <c r="A178" s="39"/>
      <c r="B178" s="40"/>
      <c r="C178" s="40"/>
      <c r="D178" s="40"/>
      <c r="E178" s="40"/>
      <c r="F178" s="41"/>
      <c r="G178" s="41"/>
      <c r="H178" s="41"/>
      <c r="I178" s="6"/>
      <c r="J178" s="38" t="b">
        <v>0</v>
      </c>
      <c r="K178" s="38" t="b">
        <v>0</v>
      </c>
      <c r="L178" s="38" t="b">
        <v>0</v>
      </c>
      <c r="M178" s="38" t="b">
        <v>0</v>
      </c>
      <c r="N178" s="38" t="b">
        <v>0</v>
      </c>
      <c r="O178" s="38" t="b">
        <v>0</v>
      </c>
      <c r="P178" s="38" t="b">
        <v>0</v>
      </c>
      <c r="Q178" s="38" t="b">
        <v>0</v>
      </c>
      <c r="R178" s="38" t="b">
        <v>0</v>
      </c>
      <c r="S178" s="38" t="b">
        <v>0</v>
      </c>
      <c r="T178" s="38" t="b">
        <v>0</v>
      </c>
      <c r="U178" s="38" t="b">
        <v>0</v>
      </c>
      <c r="V178" s="38" t="b">
        <v>0</v>
      </c>
      <c r="W178" s="38" t="b">
        <v>0</v>
      </c>
      <c r="X178" s="38" t="b">
        <v>0</v>
      </c>
      <c r="Y178" s="38" t="b">
        <v>0</v>
      </c>
      <c r="Z178" s="38" t="b">
        <v>0</v>
      </c>
      <c r="AA178" s="38" t="b">
        <v>0</v>
      </c>
      <c r="AB178" s="38" t="b">
        <v>0</v>
      </c>
      <c r="AC178" s="38" t="b">
        <v>0</v>
      </c>
      <c r="AD178" s="38" t="b">
        <v>0</v>
      </c>
      <c r="AE178" s="38" t="b">
        <v>0</v>
      </c>
      <c r="AF178" s="38" t="b">
        <v>0</v>
      </c>
      <c r="AG178" s="38" t="b">
        <v>0</v>
      </c>
      <c r="AH178" s="38" t="b">
        <v>0</v>
      </c>
      <c r="AI178" s="38" t="b">
        <v>0</v>
      </c>
      <c r="AJ178" s="38" t="b">
        <v>0</v>
      </c>
      <c r="AK178" s="38" t="b">
        <v>0</v>
      </c>
      <c r="AL178" s="38" t="b">
        <v>0</v>
      </c>
      <c r="AM178" s="38" t="b">
        <v>0</v>
      </c>
      <c r="AN178" s="38" t="b">
        <v>0</v>
      </c>
      <c r="AO178" s="25">
        <f t="shared" si="96"/>
        <v>0</v>
      </c>
      <c r="AQ178" s="25">
        <f>IFERROR(__xludf.DUMMYFUNCTION("if(iserror(match(true,J178:AN178,0)),0,len(index(split(substitute(substitute(join("","",J178:AN178)&amp;"","",""TRUE,"",""x""),""FALSE,"","",""),"",""),,counta(split(substitute(substitute(join("","",J178:AN178)&amp;"","",""TRUE,"",""x""),""FALSE,"","",""),"",""))"&amp;")))"),0.0)</f>
        <v>0</v>
      </c>
      <c r="AR178" s="25" t="str">
        <f>IFERROR(__xludf.DUMMYFUNCTION("arrayformula( if( sum(J178:AN178 + 0), max( len( split( concatenate( left(J178:AN178) ), ""F"" ) ) ), ""0"" ) )"),"0")</f>
        <v>0</v>
      </c>
      <c r="AS178" s="26">
        <v>15.0</v>
      </c>
      <c r="AT178" s="27">
        <f t="shared" si="97"/>
        <v>0</v>
      </c>
    </row>
    <row r="179" hidden="1">
      <c r="A179" s="39"/>
      <c r="B179" s="40"/>
      <c r="C179" s="40"/>
      <c r="D179" s="40"/>
      <c r="E179" s="40"/>
      <c r="F179" s="41"/>
      <c r="G179" s="41"/>
      <c r="H179" s="41"/>
      <c r="I179" s="6"/>
      <c r="J179" s="38" t="b">
        <v>0</v>
      </c>
      <c r="K179" s="38" t="b">
        <v>0</v>
      </c>
      <c r="L179" s="38" t="b">
        <v>0</v>
      </c>
      <c r="M179" s="38" t="b">
        <v>0</v>
      </c>
      <c r="N179" s="38" t="b">
        <v>0</v>
      </c>
      <c r="O179" s="38" t="b">
        <v>0</v>
      </c>
      <c r="P179" s="38" t="b">
        <v>0</v>
      </c>
      <c r="Q179" s="38" t="b">
        <v>0</v>
      </c>
      <c r="R179" s="38" t="b">
        <v>0</v>
      </c>
      <c r="S179" s="38" t="b">
        <v>0</v>
      </c>
      <c r="T179" s="38" t="b">
        <v>0</v>
      </c>
      <c r="U179" s="38" t="b">
        <v>0</v>
      </c>
      <c r="V179" s="38" t="b">
        <v>0</v>
      </c>
      <c r="W179" s="38" t="b">
        <v>0</v>
      </c>
      <c r="X179" s="38" t="b">
        <v>0</v>
      </c>
      <c r="Y179" s="38" t="b">
        <v>0</v>
      </c>
      <c r="Z179" s="38" t="b">
        <v>0</v>
      </c>
      <c r="AA179" s="38" t="b">
        <v>0</v>
      </c>
      <c r="AB179" s="38" t="b">
        <v>0</v>
      </c>
      <c r="AC179" s="38" t="b">
        <v>0</v>
      </c>
      <c r="AD179" s="38" t="b">
        <v>0</v>
      </c>
      <c r="AE179" s="38" t="b">
        <v>0</v>
      </c>
      <c r="AF179" s="38" t="b">
        <v>0</v>
      </c>
      <c r="AG179" s="38" t="b">
        <v>0</v>
      </c>
      <c r="AH179" s="38" t="b">
        <v>0</v>
      </c>
      <c r="AI179" s="38" t="b">
        <v>0</v>
      </c>
      <c r="AJ179" s="38" t="b">
        <v>0</v>
      </c>
      <c r="AK179" s="38" t="b">
        <v>0</v>
      </c>
      <c r="AL179" s="38" t="b">
        <v>0</v>
      </c>
      <c r="AM179" s="38" t="b">
        <v>0</v>
      </c>
      <c r="AN179" s="38" t="b">
        <v>0</v>
      </c>
      <c r="AO179" s="25">
        <f t="shared" si="96"/>
        <v>0</v>
      </c>
      <c r="AQ179" s="25">
        <f>IFERROR(__xludf.DUMMYFUNCTION("if(iserror(match(true,J179:AN179,0)),0,len(index(split(substitute(substitute(join("","",J179:AN179)&amp;"","",""TRUE,"",""x""),""FALSE,"","",""),"",""),,counta(split(substitute(substitute(join("","",J179:AN179)&amp;"","",""TRUE,"",""x""),""FALSE,"","",""),"",""))"&amp;")))"),0.0)</f>
        <v>0</v>
      </c>
      <c r="AR179" s="25" t="str">
        <f>IFERROR(__xludf.DUMMYFUNCTION("arrayformula( if( sum(J179:AN179 + 0), max( len( split( concatenate( left(J179:AN179) ), ""F"" ) ) ), ""0"" ) )"),"0")</f>
        <v>0</v>
      </c>
      <c r="AS179" s="26">
        <v>15.0</v>
      </c>
      <c r="AT179" s="27">
        <f t="shared" si="97"/>
        <v>0</v>
      </c>
    </row>
    <row r="180" hidden="1">
      <c r="A180" s="39"/>
      <c r="B180" s="40"/>
      <c r="C180" s="40"/>
      <c r="D180" s="40"/>
      <c r="E180" s="40"/>
      <c r="F180" s="41"/>
      <c r="G180" s="41"/>
      <c r="H180" s="41"/>
      <c r="I180" s="6"/>
      <c r="J180" s="38" t="b">
        <v>0</v>
      </c>
      <c r="K180" s="38" t="b">
        <v>0</v>
      </c>
      <c r="L180" s="38" t="b">
        <v>0</v>
      </c>
      <c r="M180" s="38" t="b">
        <v>0</v>
      </c>
      <c r="N180" s="38" t="b">
        <v>0</v>
      </c>
      <c r="O180" s="38" t="b">
        <v>0</v>
      </c>
      <c r="P180" s="38" t="b">
        <v>0</v>
      </c>
      <c r="Q180" s="38" t="b">
        <v>0</v>
      </c>
      <c r="R180" s="38" t="b">
        <v>0</v>
      </c>
      <c r="S180" s="38" t="b">
        <v>0</v>
      </c>
      <c r="T180" s="38" t="b">
        <v>0</v>
      </c>
      <c r="U180" s="38" t="b">
        <v>0</v>
      </c>
      <c r="V180" s="38" t="b">
        <v>0</v>
      </c>
      <c r="W180" s="38" t="b">
        <v>0</v>
      </c>
      <c r="X180" s="38" t="b">
        <v>0</v>
      </c>
      <c r="Y180" s="38" t="b">
        <v>0</v>
      </c>
      <c r="Z180" s="38" t="b">
        <v>0</v>
      </c>
      <c r="AA180" s="38" t="b">
        <v>0</v>
      </c>
      <c r="AB180" s="38" t="b">
        <v>0</v>
      </c>
      <c r="AC180" s="38" t="b">
        <v>0</v>
      </c>
      <c r="AD180" s="38" t="b">
        <v>0</v>
      </c>
      <c r="AE180" s="38" t="b">
        <v>0</v>
      </c>
      <c r="AF180" s="38" t="b">
        <v>0</v>
      </c>
      <c r="AG180" s="38" t="b">
        <v>0</v>
      </c>
      <c r="AH180" s="38" t="b">
        <v>0</v>
      </c>
      <c r="AI180" s="38" t="b">
        <v>0</v>
      </c>
      <c r="AJ180" s="38" t="b">
        <v>0</v>
      </c>
      <c r="AK180" s="38" t="b">
        <v>0</v>
      </c>
      <c r="AL180" s="38" t="b">
        <v>0</v>
      </c>
      <c r="AM180" s="38" t="b">
        <v>0</v>
      </c>
      <c r="AN180" s="38" t="b">
        <v>0</v>
      </c>
      <c r="AO180" s="25">
        <f t="shared" si="96"/>
        <v>0</v>
      </c>
      <c r="AQ180" s="25">
        <f>IFERROR(__xludf.DUMMYFUNCTION("if(iserror(match(true,J180:AN180,0)),0,len(index(split(substitute(substitute(join("","",J180:AN180)&amp;"","",""TRUE,"",""x""),""FALSE,"","",""),"",""),,counta(split(substitute(substitute(join("","",J180:AN180)&amp;"","",""TRUE,"",""x""),""FALSE,"","",""),"",""))"&amp;")))"),0.0)</f>
        <v>0</v>
      </c>
      <c r="AR180" s="25" t="str">
        <f>IFERROR(__xludf.DUMMYFUNCTION("arrayformula( if( sum(J180:AN180 + 0), max( len( split( concatenate( left(J180:AN180) ), ""F"" ) ) ), ""0"" ) )"),"0")</f>
        <v>0</v>
      </c>
      <c r="AS180" s="26">
        <v>15.0</v>
      </c>
      <c r="AT180" s="27">
        <f t="shared" si="97"/>
        <v>0</v>
      </c>
    </row>
    <row r="181" hidden="1">
      <c r="A181" s="39"/>
      <c r="B181" s="40"/>
      <c r="C181" s="40"/>
      <c r="D181" s="40"/>
      <c r="E181" s="40"/>
      <c r="F181" s="41"/>
      <c r="G181" s="41"/>
      <c r="H181" s="41"/>
      <c r="I181" s="6"/>
      <c r="J181" s="38" t="b">
        <v>0</v>
      </c>
      <c r="K181" s="38" t="b">
        <v>0</v>
      </c>
      <c r="L181" s="38" t="b">
        <v>0</v>
      </c>
      <c r="M181" s="38" t="b">
        <v>0</v>
      </c>
      <c r="N181" s="38" t="b">
        <v>0</v>
      </c>
      <c r="O181" s="38" t="b">
        <v>0</v>
      </c>
      <c r="P181" s="38" t="b">
        <v>0</v>
      </c>
      <c r="Q181" s="38" t="b">
        <v>0</v>
      </c>
      <c r="R181" s="38" t="b">
        <v>0</v>
      </c>
      <c r="S181" s="38" t="b">
        <v>0</v>
      </c>
      <c r="T181" s="38" t="b">
        <v>0</v>
      </c>
      <c r="U181" s="38" t="b">
        <v>0</v>
      </c>
      <c r="V181" s="38" t="b">
        <v>0</v>
      </c>
      <c r="W181" s="38" t="b">
        <v>0</v>
      </c>
      <c r="X181" s="38" t="b">
        <v>0</v>
      </c>
      <c r="Y181" s="38" t="b">
        <v>0</v>
      </c>
      <c r="Z181" s="38" t="b">
        <v>0</v>
      </c>
      <c r="AA181" s="38" t="b">
        <v>0</v>
      </c>
      <c r="AB181" s="38" t="b">
        <v>0</v>
      </c>
      <c r="AC181" s="38" t="b">
        <v>0</v>
      </c>
      <c r="AD181" s="38" t="b">
        <v>0</v>
      </c>
      <c r="AE181" s="38" t="b">
        <v>0</v>
      </c>
      <c r="AF181" s="38" t="b">
        <v>0</v>
      </c>
      <c r="AG181" s="38" t="b">
        <v>0</v>
      </c>
      <c r="AH181" s="38" t="b">
        <v>0</v>
      </c>
      <c r="AI181" s="38" t="b">
        <v>0</v>
      </c>
      <c r="AJ181" s="38" t="b">
        <v>0</v>
      </c>
      <c r="AK181" s="38" t="b">
        <v>0</v>
      </c>
      <c r="AL181" s="38" t="b">
        <v>0</v>
      </c>
      <c r="AM181" s="38" t="b">
        <v>0</v>
      </c>
      <c r="AN181" s="38" t="b">
        <v>0</v>
      </c>
      <c r="AO181" s="25">
        <f t="shared" si="96"/>
        <v>0</v>
      </c>
      <c r="AQ181" s="25">
        <f>IFERROR(__xludf.DUMMYFUNCTION("if(iserror(match(true,J181:AN181,0)),0,len(index(split(substitute(substitute(join("","",J181:AN181)&amp;"","",""TRUE,"",""x""),""FALSE,"","",""),"",""),,counta(split(substitute(substitute(join("","",J181:AN181)&amp;"","",""TRUE,"",""x""),""FALSE,"","",""),"",""))"&amp;")))"),0.0)</f>
        <v>0</v>
      </c>
      <c r="AR181" s="25" t="str">
        <f>IFERROR(__xludf.DUMMYFUNCTION("arrayformula( if( sum(J181:AN181 + 0), max( len( split( concatenate( left(J181:AN181) ), ""F"" ) ) ), ""0"" ) )"),"0")</f>
        <v>0</v>
      </c>
      <c r="AS181" s="26">
        <v>15.0</v>
      </c>
      <c r="AT181" s="27">
        <f t="shared" si="97"/>
        <v>0</v>
      </c>
    </row>
    <row r="182" hidden="1">
      <c r="A182" s="39"/>
      <c r="B182" s="40"/>
      <c r="C182" s="40"/>
      <c r="D182" s="40"/>
      <c r="E182" s="40"/>
      <c r="F182" s="41"/>
      <c r="G182" s="41"/>
      <c r="H182" s="41"/>
      <c r="I182" s="6"/>
      <c r="J182" s="38" t="b">
        <v>0</v>
      </c>
      <c r="K182" s="38" t="b">
        <v>0</v>
      </c>
      <c r="L182" s="38" t="b">
        <v>0</v>
      </c>
      <c r="M182" s="38" t="b">
        <v>0</v>
      </c>
      <c r="N182" s="38" t="b">
        <v>0</v>
      </c>
      <c r="O182" s="38" t="b">
        <v>0</v>
      </c>
      <c r="P182" s="38" t="b">
        <v>0</v>
      </c>
      <c r="Q182" s="38" t="b">
        <v>0</v>
      </c>
      <c r="R182" s="38" t="b">
        <v>0</v>
      </c>
      <c r="S182" s="38" t="b">
        <v>0</v>
      </c>
      <c r="T182" s="38" t="b">
        <v>0</v>
      </c>
      <c r="U182" s="38" t="b">
        <v>0</v>
      </c>
      <c r="V182" s="38" t="b">
        <v>0</v>
      </c>
      <c r="W182" s="38" t="b">
        <v>0</v>
      </c>
      <c r="X182" s="38" t="b">
        <v>0</v>
      </c>
      <c r="Y182" s="38" t="b">
        <v>0</v>
      </c>
      <c r="Z182" s="38" t="b">
        <v>0</v>
      </c>
      <c r="AA182" s="38" t="b">
        <v>0</v>
      </c>
      <c r="AB182" s="38" t="b">
        <v>0</v>
      </c>
      <c r="AC182" s="38" t="b">
        <v>0</v>
      </c>
      <c r="AD182" s="38" t="b">
        <v>0</v>
      </c>
      <c r="AE182" s="38" t="b">
        <v>0</v>
      </c>
      <c r="AF182" s="38" t="b">
        <v>0</v>
      </c>
      <c r="AG182" s="38" t="b">
        <v>0</v>
      </c>
      <c r="AH182" s="38" t="b">
        <v>0</v>
      </c>
      <c r="AI182" s="38" t="b">
        <v>0</v>
      </c>
      <c r="AJ182" s="38" t="b">
        <v>0</v>
      </c>
      <c r="AK182" s="38" t="b">
        <v>0</v>
      </c>
      <c r="AL182" s="38" t="b">
        <v>0</v>
      </c>
      <c r="AM182" s="38" t="b">
        <v>0</v>
      </c>
      <c r="AN182" s="38" t="b">
        <v>0</v>
      </c>
      <c r="AO182" s="25">
        <f t="shared" si="96"/>
        <v>0</v>
      </c>
      <c r="AQ182" s="25">
        <f>IFERROR(__xludf.DUMMYFUNCTION("if(iserror(match(true,J182:AN182,0)),0,len(index(split(substitute(substitute(join("","",J182:AN182)&amp;"","",""TRUE,"",""x""),""FALSE,"","",""),"",""),,counta(split(substitute(substitute(join("","",J182:AN182)&amp;"","",""TRUE,"",""x""),""FALSE,"","",""),"",""))"&amp;")))"),0.0)</f>
        <v>0</v>
      </c>
      <c r="AR182" s="25" t="str">
        <f>IFERROR(__xludf.DUMMYFUNCTION("arrayformula( if( sum(J182:AN182 + 0), max( len( split( concatenate( left(J182:AN182) ), ""F"" ) ) ), ""0"" ) )"),"0")</f>
        <v>0</v>
      </c>
      <c r="AS182" s="26">
        <v>15.0</v>
      </c>
      <c r="AT182" s="27">
        <f t="shared" si="97"/>
        <v>0</v>
      </c>
    </row>
    <row r="183" hidden="1">
      <c r="A183" s="39"/>
      <c r="B183" s="40"/>
      <c r="C183" s="40"/>
      <c r="D183" s="40"/>
      <c r="E183" s="40"/>
      <c r="F183" s="41"/>
      <c r="G183" s="41"/>
      <c r="H183" s="41"/>
      <c r="I183" s="6"/>
      <c r="J183" s="24" t="b">
        <v>0</v>
      </c>
      <c r="K183" s="38" t="b">
        <v>0</v>
      </c>
      <c r="L183" s="38" t="b">
        <v>0</v>
      </c>
      <c r="M183" s="38" t="b">
        <v>0</v>
      </c>
      <c r="N183" s="38" t="b">
        <v>0</v>
      </c>
      <c r="O183" s="38" t="b">
        <v>0</v>
      </c>
      <c r="P183" s="38" t="b">
        <v>0</v>
      </c>
      <c r="Q183" s="38" t="b">
        <v>0</v>
      </c>
      <c r="R183" s="38" t="b">
        <v>0</v>
      </c>
      <c r="S183" s="38" t="b">
        <v>0</v>
      </c>
      <c r="T183" s="38" t="b">
        <v>0</v>
      </c>
      <c r="U183" s="38" t="b">
        <v>0</v>
      </c>
      <c r="V183" s="38" t="b">
        <v>0</v>
      </c>
      <c r="W183" s="38" t="b">
        <v>0</v>
      </c>
      <c r="X183" s="38" t="b">
        <v>0</v>
      </c>
      <c r="Y183" s="38" t="b">
        <v>0</v>
      </c>
      <c r="Z183" s="38" t="b">
        <v>0</v>
      </c>
      <c r="AA183" s="38" t="b">
        <v>0</v>
      </c>
      <c r="AB183" s="38" t="b">
        <v>0</v>
      </c>
      <c r="AC183" s="38" t="b">
        <v>0</v>
      </c>
      <c r="AD183" s="38" t="b">
        <v>0</v>
      </c>
      <c r="AE183" s="38" t="b">
        <v>0</v>
      </c>
      <c r="AF183" s="38" t="b">
        <v>0</v>
      </c>
      <c r="AG183" s="38" t="b">
        <v>0</v>
      </c>
      <c r="AH183" s="38" t="b">
        <v>0</v>
      </c>
      <c r="AI183" s="38" t="b">
        <v>0</v>
      </c>
      <c r="AJ183" s="38" t="b">
        <v>0</v>
      </c>
      <c r="AK183" s="38" t="b">
        <v>0</v>
      </c>
      <c r="AL183" s="38" t="b">
        <v>0</v>
      </c>
      <c r="AM183" s="38" t="b">
        <v>0</v>
      </c>
      <c r="AN183" s="38" t="b">
        <v>0</v>
      </c>
      <c r="AO183" s="25">
        <f t="shared" si="96"/>
        <v>0</v>
      </c>
      <c r="AQ183" s="25">
        <f>IFERROR(__xludf.DUMMYFUNCTION("if(iserror(match(true,J183:AN183,0)),0,len(index(split(substitute(substitute(join("","",J183:AN183)&amp;"","",""TRUE,"",""x""),""FALSE,"","",""),"",""),,counta(split(substitute(substitute(join("","",J183:AN183)&amp;"","",""TRUE,"",""x""),""FALSE,"","",""),"",""))"&amp;")))"),0.0)</f>
        <v>0</v>
      </c>
      <c r="AR183" s="25" t="str">
        <f>IFERROR(__xludf.DUMMYFUNCTION("arrayformula( if( sum(J183:AN183 + 0), max( len( split( concatenate( left(J183:AN183) ), ""F"" ) ) ), ""0"" ) )"),"0")</f>
        <v>0</v>
      </c>
      <c r="AS183" s="26">
        <v>15.0</v>
      </c>
      <c r="AT183" s="27">
        <f t="shared" si="97"/>
        <v>0</v>
      </c>
    </row>
    <row r="184">
      <c r="A184" s="47"/>
      <c r="B184" s="47"/>
      <c r="C184" s="47"/>
      <c r="D184" s="47"/>
      <c r="E184" s="47"/>
      <c r="F184" s="47"/>
      <c r="G184" s="47"/>
      <c r="H184" s="47"/>
      <c r="I184" s="45"/>
      <c r="J184" s="24" t="str">
        <f t="array" ref="J184">IF(COUNTIF(J164:J183, "TRUE") = 1, Setup!$E$4, 
IF(COUNTIF(J164:J183, "TRUE") = 0, Setup!$E$3,
IF(COUNTIF(J164:J183, "TRUE") = 2, Setup!$E$5, 
IF(COUNTIF(J164:J183, "TRUE") = 3, Setup!$E$6, 
IF(COUNTIF(J164:J183, "TRUE") = 4, Setup!$E$7, 
IF(COUNTIF(J164:J183, "TRUE") = 5, Setup!$E$8, 
IF(COUNTIF(J164:J183, "TRUE") &gt;= 6, Setup!$E$9)))
))))</f>
        <v/>
      </c>
      <c r="K184" s="24" t="str">
        <f t="array" ref="K184">IF(COUNTIF(K164:K183, "TRUE") = 1, Setup!$E$4, 
IF(COUNTIF(K164:K183, "TRUE") = 0, Setup!$E$3,
IF(COUNTIF(K164:K183, "TRUE") = 2, Setup!$E$5, 
IF(COUNTIF(K164:K183, "TRUE") = 3, Setup!$E$6, 
IF(COUNTIF(K164:K183, "TRUE") = 4, Setup!$E$7, 
IF(COUNTIF(K164:K183, "TRUE") = 5, Setup!$E$8, 
IF(COUNTIF(K164:K183, "TRUE") &gt;= 6, Setup!$E$9)))
))))</f>
        <v/>
      </c>
      <c r="L184" s="24" t="str">
        <f t="array" ref="L184">IF(COUNTIF(L164:L183, "TRUE") = 1, Setup!$E$4, 
IF(COUNTIF(L164:L183, "TRUE") = 0, Setup!$E$3,
IF(COUNTIF(L164:L183, "TRUE") = 2, Setup!$E$5, 
IF(COUNTIF(L164:L183, "TRUE") = 3, Setup!$E$6, 
IF(COUNTIF(L164:L183, "TRUE") = 4, Setup!$E$7, 
IF(COUNTIF(L164:L183, "TRUE") = 5, Setup!$E$8, 
IF(COUNTIF(L164:L183, "TRUE") &gt;= 6, Setup!$E$9)))
))))</f>
        <v/>
      </c>
      <c r="M184" s="24" t="str">
        <f t="array" ref="M184">IF(COUNTIF(M164:M183, "TRUE") = 1, Setup!$E$4, 
IF(COUNTIF(M164:M183, "TRUE") = 0, Setup!$E$3,
IF(COUNTIF(M164:M183, "TRUE") = 2, Setup!$E$5, 
IF(COUNTIF(M164:M183, "TRUE") = 3, Setup!$E$6, 
IF(COUNTIF(M164:M183, "TRUE") = 4, Setup!$E$7, 
IF(COUNTIF(M164:M183, "TRUE") = 5, Setup!$E$8, 
IF(COUNTIF(M164:M183, "TRUE") &gt;= 6, Setup!$E$9)))
))))</f>
        <v/>
      </c>
      <c r="N184" s="24" t="str">
        <f t="array" ref="N184">IF(COUNTIF(N164:N183, "TRUE") = 1, Setup!$E$4, 
IF(COUNTIF(N164:N183, "TRUE") = 0, Setup!$E$3,
IF(COUNTIF(N164:N183, "TRUE") = 2, Setup!$E$5, 
IF(COUNTIF(N164:N183, "TRUE") = 3, Setup!$E$6, 
IF(COUNTIF(N164:N183, "TRUE") = 4, Setup!$E$7, 
IF(COUNTIF(N164:N183, "TRUE") = 5, Setup!$E$8, 
IF(COUNTIF(N164:N183, "TRUE") &gt;= 6, Setup!$E$9)))
))))</f>
        <v/>
      </c>
      <c r="O184" s="24" t="str">
        <f t="array" ref="O184">IF(COUNTIF(O164:O183, "TRUE") = 1, Setup!$E$4, 
IF(COUNTIF(O164:O183, "TRUE") = 0, Setup!$E$3,
IF(COUNTIF(O164:O183, "TRUE") = 2, Setup!$E$5, 
IF(COUNTIF(O164:O183, "TRUE") = 3, Setup!$E$6, 
IF(COUNTIF(O164:O183, "TRUE") = 4, Setup!$E$7, 
IF(COUNTIF(O164:O183, "TRUE") = 5, Setup!$E$8, 
IF(COUNTIF(O164:O183, "TRUE") &gt;= 6, Setup!$E$9)))
))))</f>
        <v/>
      </c>
      <c r="P184" s="24" t="str">
        <f t="array" ref="P184">IF(COUNTIF(P164:P183, "TRUE") = 1, Setup!$E$4, 
IF(COUNTIF(P164:P183, "TRUE") = 0, Setup!$E$3,
IF(COUNTIF(P164:P183, "TRUE") = 2, Setup!$E$5, 
IF(COUNTIF(P164:P183, "TRUE") = 3, Setup!$E$6, 
IF(COUNTIF(P164:P183, "TRUE") = 4, Setup!$E$7, 
IF(COUNTIF(P164:P183, "TRUE") = 5, Setup!$E$8, 
IF(COUNTIF(P164:P183, "TRUE") &gt;= 6, Setup!$E$9)))
))))</f>
        <v/>
      </c>
      <c r="Q184" s="24" t="str">
        <f t="array" ref="Q184">IF(COUNTIF(Q164:Q183, "TRUE") = 1, Setup!$E$4, 
IF(COUNTIF(Q164:Q183, "TRUE") = 0, Setup!$E$3,
IF(COUNTIF(Q164:Q183, "TRUE") = 2, Setup!$E$5, 
IF(COUNTIF(Q164:Q183, "TRUE") = 3, Setup!$E$6, 
IF(COUNTIF(Q164:Q183, "TRUE") = 4, Setup!$E$7, 
IF(COUNTIF(Q164:Q183, "TRUE") = 5, Setup!$E$8, 
IF(COUNTIF(Q164:Q183, "TRUE") &gt;= 6, Setup!$E$9)))
))))</f>
        <v/>
      </c>
      <c r="R184" s="24" t="str">
        <f t="array" ref="R184">IF(COUNTIF(R164:R183, "TRUE") = 1, Setup!$E$4, 
IF(COUNTIF(R164:R183, "TRUE") = 0, Setup!$E$3,
IF(COUNTIF(R164:R183, "TRUE") = 2, Setup!$E$5, 
IF(COUNTIF(R164:R183, "TRUE") = 3, Setup!$E$6, 
IF(COUNTIF(R164:R183, "TRUE") = 4, Setup!$E$7, 
IF(COUNTIF(R164:R183, "TRUE") = 5, Setup!$E$8, 
IF(COUNTIF(R164:R183, "TRUE") &gt;= 6, Setup!$E$9)))
))))</f>
        <v/>
      </c>
      <c r="S184" s="24" t="str">
        <f t="array" ref="S184">IF(COUNTIF(S164:S183, "TRUE") = 1, Setup!$E$4, 
IF(COUNTIF(S164:S183, "TRUE") = 0, Setup!$E$3,
IF(COUNTIF(S164:S183, "TRUE") = 2, Setup!$E$5, 
IF(COUNTIF(S164:S183, "TRUE") = 3, Setup!$E$6, 
IF(COUNTIF(S164:S183, "TRUE") = 4, Setup!$E$7, 
IF(COUNTIF(S164:S183, "TRUE") = 5, Setup!$E$8, 
IF(COUNTIF(S164:S183, "TRUE") &gt;= 6, Setup!$E$9)))
))))</f>
        <v/>
      </c>
      <c r="T184" s="24" t="str">
        <f t="array" ref="T184">IF(COUNTIF(T164:T183, "TRUE") = 1, Setup!$E$4, 
IF(COUNTIF(T164:T183, "TRUE") = 0, Setup!$E$3,
IF(COUNTIF(T164:T183, "TRUE") = 2, Setup!$E$5, 
IF(COUNTIF(T164:T183, "TRUE") = 3, Setup!$E$6, 
IF(COUNTIF(T164:T183, "TRUE") = 4, Setup!$E$7, 
IF(COUNTIF(T164:T183, "TRUE") = 5, Setup!$E$8, 
IF(COUNTIF(T164:T183, "TRUE") &gt;= 6, Setup!$E$9)))
))))</f>
        <v/>
      </c>
      <c r="U184" s="24" t="str">
        <f t="array" ref="U184">IF(COUNTIF(U164:U183, "TRUE") = 1, Setup!$E$4, 
IF(COUNTIF(U164:U183, "TRUE") = 0, Setup!$E$3,
IF(COUNTIF(U164:U183, "TRUE") = 2, Setup!$E$5, 
IF(COUNTIF(U164:U183, "TRUE") = 3, Setup!$E$6, 
IF(COUNTIF(U164:U183, "TRUE") = 4, Setup!$E$7, 
IF(COUNTIF(U164:U183, "TRUE") = 5, Setup!$E$8, 
IF(COUNTIF(U164:U183, "TRUE") &gt;= 6, Setup!$E$9)))
))))</f>
        <v/>
      </c>
      <c r="V184" s="24" t="str">
        <f t="array" ref="V184">IF(COUNTIF(V164:V183, "TRUE") = 1, Setup!$E$4, 
IF(COUNTIF(V164:V183, "TRUE") = 0, Setup!$E$3,
IF(COUNTIF(V164:V183, "TRUE") = 2, Setup!$E$5, 
IF(COUNTIF(V164:V183, "TRUE") = 3, Setup!$E$6, 
IF(COUNTIF(V164:V183, "TRUE") = 4, Setup!$E$7, 
IF(COUNTIF(V164:V183, "TRUE") = 5, Setup!$E$8, 
IF(COUNTIF(V164:V183, "TRUE") &gt;= 6, Setup!$E$9)))
))))</f>
        <v/>
      </c>
      <c r="W184" s="24" t="str">
        <f t="array" ref="W184">IF(COUNTIF(W164:W183, "TRUE") = 1, Setup!$E$4, 
IF(COUNTIF(W164:W183, "TRUE") = 0, Setup!$E$3,
IF(COUNTIF(W164:W183, "TRUE") = 2, Setup!$E$5, 
IF(COUNTIF(W164:W183, "TRUE") = 3, Setup!$E$6, 
IF(COUNTIF(W164:W183, "TRUE") = 4, Setup!$E$7, 
IF(COUNTIF(W164:W183, "TRUE") = 5, Setup!$E$8, 
IF(COUNTIF(W164:W183, "TRUE") &gt;= 6, Setup!$E$9)))
))))</f>
        <v/>
      </c>
      <c r="X184" s="24" t="str">
        <f t="array" ref="X184">IF(COUNTIF(X164:X183, "TRUE") = 1, Setup!$E$4, 
IF(COUNTIF(X164:X183, "TRUE") = 0, Setup!$E$3,
IF(COUNTIF(X164:X183, "TRUE") = 2, Setup!$E$5, 
IF(COUNTIF(X164:X183, "TRUE") = 3, Setup!$E$6, 
IF(COUNTIF(X164:X183, "TRUE") = 4, Setup!$E$7, 
IF(COUNTIF(X164:X183, "TRUE") = 5, Setup!$E$8, 
IF(COUNTIF(X164:X183, "TRUE") &gt;= 6, Setup!$E$9)))
))))</f>
        <v/>
      </c>
      <c r="Y184" s="24" t="str">
        <f t="array" ref="Y184">IF(COUNTIF(Y164:Y183, "TRUE") = 1, Setup!$E$4, 
IF(COUNTIF(Y164:Y183, "TRUE") = 0, Setup!$E$3,
IF(COUNTIF(Y164:Y183, "TRUE") = 2, Setup!$E$5, 
IF(COUNTIF(Y164:Y183, "TRUE") = 3, Setup!$E$6, 
IF(COUNTIF(Y164:Y183, "TRUE") = 4, Setup!$E$7, 
IF(COUNTIF(Y164:Y183, "TRUE") = 5, Setup!$E$8, 
IF(COUNTIF(Y164:Y183, "TRUE") &gt;= 6, Setup!$E$9)))
))))</f>
        <v/>
      </c>
      <c r="Z184" s="24" t="str">
        <f t="array" ref="Z184">IF(COUNTIF(Z164:Z183, "TRUE") = 1, Setup!$E$4, 
IF(COUNTIF(Z164:Z183, "TRUE") = 0, Setup!$E$3,
IF(COUNTIF(Z164:Z183, "TRUE") = 2, Setup!$E$5, 
IF(COUNTIF(Z164:Z183, "TRUE") = 3, Setup!$E$6, 
IF(COUNTIF(Z164:Z183, "TRUE") = 4, Setup!$E$7, 
IF(COUNTIF(Z164:Z183, "TRUE") = 5, Setup!$E$8, 
IF(COUNTIF(Z164:Z183, "TRUE") &gt;= 6, Setup!$E$9)))
))))</f>
        <v/>
      </c>
      <c r="AA184" s="24" t="str">
        <f t="array" ref="AA184">IF(COUNTIF(AA164:AA183, "TRUE") = 1, Setup!$E$4, 
IF(COUNTIF(AA164:AA183, "TRUE") = 0, Setup!$E$3,
IF(COUNTIF(AA164:AA183, "TRUE") = 2, Setup!$E$5, 
IF(COUNTIF(AA164:AA183, "TRUE") = 3, Setup!$E$6, 
IF(COUNTIF(AA164:AA183, "TRUE") = 4, Setup!$E$7, 
IF(COUNTIF(AA164:AA183, "TRUE") = 5, Setup!$E$8, 
IF(COUNTIF(AA164:AA183, "TRUE") &gt;= 6, Setup!$E$9)))
))))</f>
        <v/>
      </c>
      <c r="AB184" s="24" t="str">
        <f t="array" ref="AB184">IF(COUNTIF(AB164:AB183, "TRUE") = 1, Setup!$E$4, 
IF(COUNTIF(AB164:AB183, "TRUE") = 0, Setup!$E$3,
IF(COUNTIF(AB164:AB183, "TRUE") = 2, Setup!$E$5, 
IF(COUNTIF(AB164:AB183, "TRUE") = 3, Setup!$E$6, 
IF(COUNTIF(AB164:AB183, "TRUE") = 4, Setup!$E$7, 
IF(COUNTIF(AB164:AB183, "TRUE") = 5, Setup!$E$8, 
IF(COUNTIF(AB164:AB183, "TRUE") &gt;= 6, Setup!$E$9)))
))))</f>
        <v/>
      </c>
      <c r="AC184" s="24" t="str">
        <f t="array" ref="AC184">IF(COUNTIF(AC164:AC183, "TRUE") = 1, Setup!$E$4, 
IF(COUNTIF(AC164:AC183, "TRUE") = 0, Setup!$E$3,
IF(COUNTIF(AC164:AC183, "TRUE") = 2, Setup!$E$5, 
IF(COUNTIF(AC164:AC183, "TRUE") = 3, Setup!$E$6, 
IF(COUNTIF(AC164:AC183, "TRUE") = 4, Setup!$E$7, 
IF(COUNTIF(AC164:AC183, "TRUE") = 5, Setup!$E$8, 
IF(COUNTIF(AC164:AC183, "TRUE") &gt;= 6, Setup!$E$9)))
))))</f>
        <v/>
      </c>
      <c r="AD184" s="24" t="str">
        <f t="array" ref="AD184">IF(COUNTIF(AD164:AD183, "TRUE") = 1, Setup!$E$4, 
IF(COUNTIF(AD164:AD183, "TRUE") = 0, Setup!$E$3,
IF(COUNTIF(AD164:AD183, "TRUE") = 2, Setup!$E$5, 
IF(COUNTIF(AD164:AD183, "TRUE") = 3, Setup!$E$6, 
IF(COUNTIF(AD164:AD183, "TRUE") = 4, Setup!$E$7, 
IF(COUNTIF(AD164:AD183, "TRUE") = 5, Setup!$E$8, 
IF(COUNTIF(AD164:AD183, "TRUE") &gt;= 6, Setup!$E$9)))
))))</f>
        <v/>
      </c>
      <c r="AE184" s="24" t="str">
        <f t="array" ref="AE184">IF(COUNTIF(AE164:AE183, "TRUE") = 1, Setup!$E$4, 
IF(COUNTIF(AE164:AE183, "TRUE") = 0, Setup!$E$3,
IF(COUNTIF(AE164:AE183, "TRUE") = 2, Setup!$E$5, 
IF(COUNTIF(AE164:AE183, "TRUE") = 3, Setup!$E$6, 
IF(COUNTIF(AE164:AE183, "TRUE") = 4, Setup!$E$7, 
IF(COUNTIF(AE164:AE183, "TRUE") = 5, Setup!$E$8, 
IF(COUNTIF(AE164:AE183, "TRUE") &gt;= 6, Setup!$E$9)))
))))</f>
        <v/>
      </c>
      <c r="AF184" s="24" t="str">
        <f t="array" ref="AF184">IF(COUNTIF(AF164:AF183, "TRUE") = 1, Setup!$E$4, 
IF(COUNTIF(AF164:AF183, "TRUE") = 0, Setup!$E$3,
IF(COUNTIF(AF164:AF183, "TRUE") = 2, Setup!$E$5, 
IF(COUNTIF(AF164:AF183, "TRUE") = 3, Setup!$E$6, 
IF(COUNTIF(AF164:AF183, "TRUE") = 4, Setup!$E$7, 
IF(COUNTIF(AF164:AF183, "TRUE") = 5, Setup!$E$8, 
IF(COUNTIF(AF164:AF183, "TRUE") &gt;= 6, Setup!$E$9)))
))))</f>
        <v/>
      </c>
      <c r="AG184" s="24" t="str">
        <f t="array" ref="AG184">IF(COUNTIF(AG164:AG183, "TRUE") = 1, Setup!$E$4, 
IF(COUNTIF(AG164:AG183, "TRUE") = 0, Setup!$E$3,
IF(COUNTIF(AG164:AG183, "TRUE") = 2, Setup!$E$5, 
IF(COUNTIF(AG164:AG183, "TRUE") = 3, Setup!$E$6, 
IF(COUNTIF(AG164:AG183, "TRUE") = 4, Setup!$E$7, 
IF(COUNTIF(AG164:AG183, "TRUE") = 5, Setup!$E$8, 
IF(COUNTIF(AG164:AG183, "TRUE") &gt;= 6, Setup!$E$9)))
))))</f>
        <v/>
      </c>
      <c r="AH184" s="24" t="str">
        <f t="array" ref="AH184">IF(COUNTIF(AH164:AH183, "TRUE") = 1, Setup!$E$4, 
IF(COUNTIF(AH164:AH183, "TRUE") = 0, Setup!$E$3,
IF(COUNTIF(AH164:AH183, "TRUE") = 2, Setup!$E$5, 
IF(COUNTIF(AH164:AH183, "TRUE") = 3, Setup!$E$6, 
IF(COUNTIF(AH164:AH183, "TRUE") = 4, Setup!$E$7, 
IF(COUNTIF(AH164:AH183, "TRUE") = 5, Setup!$E$8, 
IF(COUNTIF(AH164:AH183, "TRUE") &gt;= 6, Setup!$E$9)))
))))</f>
        <v/>
      </c>
      <c r="AI184" s="24" t="str">
        <f t="array" ref="AI184">IF(COUNTIF(AI164:AI183, "TRUE") = 1, Setup!$E$4, 
IF(COUNTIF(AI164:AI183, "TRUE") = 0, Setup!$E$3,
IF(COUNTIF(AI164:AI183, "TRUE") = 2, Setup!$E$5, 
IF(COUNTIF(AI164:AI183, "TRUE") = 3, Setup!$E$6, 
IF(COUNTIF(AI164:AI183, "TRUE") = 4, Setup!$E$7, 
IF(COUNTIF(AI164:AI183, "TRUE") = 5, Setup!$E$8, 
IF(COUNTIF(AI164:AI183, "TRUE") &gt;= 6, Setup!$E$9)))
))))</f>
        <v/>
      </c>
      <c r="AJ184" s="24" t="str">
        <f t="array" ref="AJ184">IF(COUNTIF(AJ164:AJ183, "TRUE") = 1, Setup!$E$4, 
IF(COUNTIF(AJ164:AJ183, "TRUE") = 0, Setup!$E$3,
IF(COUNTIF(AJ164:AJ183, "TRUE") = 2, Setup!$E$5, 
IF(COUNTIF(AJ164:AJ183, "TRUE") = 3, Setup!$E$6, 
IF(COUNTIF(AJ164:AJ183, "TRUE") = 4, Setup!$E$7, 
IF(COUNTIF(AJ164:AJ183, "TRUE") = 5, Setup!$E$8, 
IF(COUNTIF(AJ164:AJ183, "TRUE") &gt;= 6, Setup!$E$9)))
))))</f>
        <v/>
      </c>
      <c r="AK184" s="24" t="str">
        <f t="array" ref="AK184">IF(COUNTIF(AK164:AK183, "TRUE") = 1, Setup!$E$4, 
IF(COUNTIF(AK164:AK183, "TRUE") = 0, Setup!$E$3,
IF(COUNTIF(AK164:AK183, "TRUE") = 2, Setup!$E$5, 
IF(COUNTIF(AK164:AK183, "TRUE") = 3, Setup!$E$6, 
IF(COUNTIF(AK164:AK183, "TRUE") = 4, Setup!$E$7, 
IF(COUNTIF(AK164:AK183, "TRUE") = 5, Setup!$E$8, 
IF(COUNTIF(AK164:AK183, "TRUE") &gt;= 6, Setup!$E$9)))
))))</f>
        <v/>
      </c>
      <c r="AL184" s="24" t="str">
        <f t="array" ref="AL184">IF(COUNTIF(AL164:AL183, "TRUE") = 1, Setup!$E$4, 
IF(COUNTIF(AL164:AL183, "TRUE") = 0, Setup!$E$3,
IF(COUNTIF(AL164:AL183, "TRUE") = 2, Setup!$E$5, 
IF(COUNTIF(AL164:AL183, "TRUE") = 3, Setup!$E$6, 
IF(COUNTIF(AL164:AL183, "TRUE") = 4, Setup!$E$7, 
IF(COUNTIF(AL164:AL183, "TRUE") = 5, Setup!$E$8, 
IF(COUNTIF(AL164:AL183, "TRUE") &gt;= 6, Setup!$E$9)))
))))</f>
        <v/>
      </c>
      <c r="AM184" s="24" t="str">
        <f t="array" ref="AM184">IF(COUNTIF(AM164:AM183, "TRUE") = 1, Setup!$E$4, 
IF(COUNTIF(AM164:AM183, "TRUE") = 0, Setup!$E$3,
IF(COUNTIF(AM164:AM183, "TRUE") = 2, Setup!$E$5, 
IF(COUNTIF(AM164:AM183, "TRUE") = 3, Setup!$E$6, 
IF(COUNTIF(AM164:AM183, "TRUE") = 4, Setup!$E$7, 
IF(COUNTIF(AM164:AM183, "TRUE") = 5, Setup!$E$8, 
IF(COUNTIF(AM164:AM183, "TRUE") &gt;= 6, Setup!$E$9)))
))))</f>
        <v/>
      </c>
      <c r="AN184" s="24" t="str">
        <f t="array" ref="AN184">IF(COUNTIF(AN164:AN183, "TRUE") = 1, Setup!$E$4, 
IF(COUNTIF(AN164:AN183, "TRUE") = 0, Setup!$E$3,
IF(COUNTIF(AN164:AN183, "TRUE") = 2, Setup!$E$5, 
IF(COUNTIF(AN164:AN183, "TRUE") = 3, Setup!$E$6, 
IF(COUNTIF(AN164:AN183, "TRUE") = 4, Setup!$E$7, 
IF(COUNTIF(AN164:AN183, "TRUE") = 5, Setup!$E$8, 
IF(COUNTIF(AN164:AN183, "TRUE") &gt;= 6, Setup!$E$9)))
))))</f>
        <v/>
      </c>
      <c r="AO184" s="38"/>
      <c r="AQ184" s="38"/>
      <c r="AR184" s="38"/>
      <c r="AS184" s="38"/>
      <c r="AT184" s="38"/>
    </row>
    <row r="185">
      <c r="A185" s="13" t="s">
        <v>56</v>
      </c>
      <c r="B185" s="13" t="s">
        <v>57</v>
      </c>
      <c r="I185" s="15" t="s">
        <v>58</v>
      </c>
      <c r="J185" s="16">
        <f t="array" ref="J185">DATE($D$1, MATCH(I185, {"January","February","March","April","May","June","July","August","September","October","November","December"}, 0), 1)</f>
        <v>46266</v>
      </c>
      <c r="K185" s="16">
        <f t="shared" ref="K185:AM185" si="105">J185+1</f>
        <v>46267</v>
      </c>
      <c r="L185" s="16">
        <f t="shared" si="105"/>
        <v>46268</v>
      </c>
      <c r="M185" s="16">
        <f t="shared" si="105"/>
        <v>46269</v>
      </c>
      <c r="N185" s="16">
        <f t="shared" si="105"/>
        <v>46270</v>
      </c>
      <c r="O185" s="16">
        <f t="shared" si="105"/>
        <v>46271</v>
      </c>
      <c r="P185" s="16">
        <f t="shared" si="105"/>
        <v>46272</v>
      </c>
      <c r="Q185" s="16">
        <f t="shared" si="105"/>
        <v>46273</v>
      </c>
      <c r="R185" s="16">
        <f t="shared" si="105"/>
        <v>46274</v>
      </c>
      <c r="S185" s="16">
        <f t="shared" si="105"/>
        <v>46275</v>
      </c>
      <c r="T185" s="16">
        <f t="shared" si="105"/>
        <v>46276</v>
      </c>
      <c r="U185" s="16">
        <f t="shared" si="105"/>
        <v>46277</v>
      </c>
      <c r="V185" s="16">
        <f t="shared" si="105"/>
        <v>46278</v>
      </c>
      <c r="W185" s="16">
        <f t="shared" si="105"/>
        <v>46279</v>
      </c>
      <c r="X185" s="16">
        <f t="shared" si="105"/>
        <v>46280</v>
      </c>
      <c r="Y185" s="16">
        <f t="shared" si="105"/>
        <v>46281</v>
      </c>
      <c r="Z185" s="16">
        <f t="shared" si="105"/>
        <v>46282</v>
      </c>
      <c r="AA185" s="16">
        <f t="shared" si="105"/>
        <v>46283</v>
      </c>
      <c r="AB185" s="16">
        <f t="shared" si="105"/>
        <v>46284</v>
      </c>
      <c r="AC185" s="16">
        <f t="shared" si="105"/>
        <v>46285</v>
      </c>
      <c r="AD185" s="16">
        <f t="shared" si="105"/>
        <v>46286</v>
      </c>
      <c r="AE185" s="16">
        <f t="shared" si="105"/>
        <v>46287</v>
      </c>
      <c r="AF185" s="16">
        <f t="shared" si="105"/>
        <v>46288</v>
      </c>
      <c r="AG185" s="16">
        <f t="shared" si="105"/>
        <v>46289</v>
      </c>
      <c r="AH185" s="16">
        <f t="shared" si="105"/>
        <v>46290</v>
      </c>
      <c r="AI185" s="16">
        <f t="shared" si="105"/>
        <v>46291</v>
      </c>
      <c r="AJ185" s="16">
        <f t="shared" si="105"/>
        <v>46292</v>
      </c>
      <c r="AK185" s="16">
        <f t="shared" si="105"/>
        <v>46293</v>
      </c>
      <c r="AL185" s="16">
        <f t="shared" si="105"/>
        <v>46294</v>
      </c>
      <c r="AM185" s="16">
        <f t="shared" si="105"/>
        <v>46295</v>
      </c>
      <c r="AN185" s="48"/>
      <c r="AO185" s="17" t="s">
        <v>28</v>
      </c>
      <c r="AQ185" s="18" t="s">
        <v>29</v>
      </c>
      <c r="AR185" s="18" t="s">
        <v>30</v>
      </c>
      <c r="AS185" s="18" t="s">
        <v>31</v>
      </c>
      <c r="AT185" s="18" t="s">
        <v>32</v>
      </c>
    </row>
    <row r="186" ht="15.0" customHeight="1">
      <c r="A186" s="34"/>
      <c r="B186" s="34"/>
      <c r="I186" s="35"/>
      <c r="J186" s="36">
        <f t="shared" ref="J186:AN186" si="106">J185</f>
        <v>46266</v>
      </c>
      <c r="K186" s="36">
        <f t="shared" si="106"/>
        <v>46267</v>
      </c>
      <c r="L186" s="36">
        <f t="shared" si="106"/>
        <v>46268</v>
      </c>
      <c r="M186" s="36">
        <f t="shared" si="106"/>
        <v>46269</v>
      </c>
      <c r="N186" s="36">
        <f t="shared" si="106"/>
        <v>46270</v>
      </c>
      <c r="O186" s="36">
        <f t="shared" si="106"/>
        <v>46271</v>
      </c>
      <c r="P186" s="36">
        <f t="shared" si="106"/>
        <v>46272</v>
      </c>
      <c r="Q186" s="36">
        <f t="shared" si="106"/>
        <v>46273</v>
      </c>
      <c r="R186" s="36">
        <f t="shared" si="106"/>
        <v>46274</v>
      </c>
      <c r="S186" s="36">
        <f t="shared" si="106"/>
        <v>46275</v>
      </c>
      <c r="T186" s="36">
        <f t="shared" si="106"/>
        <v>46276</v>
      </c>
      <c r="U186" s="36">
        <f t="shared" si="106"/>
        <v>46277</v>
      </c>
      <c r="V186" s="36">
        <f t="shared" si="106"/>
        <v>46278</v>
      </c>
      <c r="W186" s="36">
        <f t="shared" si="106"/>
        <v>46279</v>
      </c>
      <c r="X186" s="36">
        <f t="shared" si="106"/>
        <v>46280</v>
      </c>
      <c r="Y186" s="36">
        <f t="shared" si="106"/>
        <v>46281</v>
      </c>
      <c r="Z186" s="36">
        <f t="shared" si="106"/>
        <v>46282</v>
      </c>
      <c r="AA186" s="36">
        <f t="shared" si="106"/>
        <v>46283</v>
      </c>
      <c r="AB186" s="36">
        <f t="shared" si="106"/>
        <v>46284</v>
      </c>
      <c r="AC186" s="36">
        <f t="shared" si="106"/>
        <v>46285</v>
      </c>
      <c r="AD186" s="36">
        <f t="shared" si="106"/>
        <v>46286</v>
      </c>
      <c r="AE186" s="36">
        <f t="shared" si="106"/>
        <v>46287</v>
      </c>
      <c r="AF186" s="36">
        <f t="shared" si="106"/>
        <v>46288</v>
      </c>
      <c r="AG186" s="36">
        <f t="shared" si="106"/>
        <v>46289</v>
      </c>
      <c r="AH186" s="36">
        <f t="shared" si="106"/>
        <v>46290</v>
      </c>
      <c r="AI186" s="36">
        <f t="shared" si="106"/>
        <v>46291</v>
      </c>
      <c r="AJ186" s="36">
        <f t="shared" si="106"/>
        <v>46292</v>
      </c>
      <c r="AK186" s="36">
        <f t="shared" si="106"/>
        <v>46293</v>
      </c>
      <c r="AL186" s="36">
        <f t="shared" si="106"/>
        <v>46294</v>
      </c>
      <c r="AM186" s="36">
        <f t="shared" si="106"/>
        <v>46295</v>
      </c>
      <c r="AN186" s="36" t="str">
        <f t="shared" si="106"/>
        <v/>
      </c>
    </row>
    <row r="187">
      <c r="A187" s="22"/>
      <c r="B187" s="46" t="str">
        <f t="shared" ref="B187:H187" si="107">IF($E$2="Monday", TEXT(TODAY()-WEEKDAY(TODAY(),2)+COLUMN(B187)-1,"ddd"), TEXT(TODAY()-WEEKDAY(TODAY(),1)+IF(COLUMN(B187)&gt;1,COLUMN(B187)-1,7),"ddd"))
</f>
        <v>Mon</v>
      </c>
      <c r="C187" s="46" t="str">
        <f t="shared" si="107"/>
        <v>Tue</v>
      </c>
      <c r="D187" s="46" t="str">
        <f t="shared" si="107"/>
        <v>Wed</v>
      </c>
      <c r="E187" s="46" t="str">
        <f t="shared" si="107"/>
        <v>Thu</v>
      </c>
      <c r="F187" s="46" t="str">
        <f t="shared" si="107"/>
        <v>Fri</v>
      </c>
      <c r="G187" s="46" t="str">
        <f t="shared" si="107"/>
        <v>Sat</v>
      </c>
      <c r="H187" s="46" t="str">
        <f t="shared" si="107"/>
        <v>Sun</v>
      </c>
      <c r="I187" s="6" t="str">
        <f t="array" ref="I187:I206">Setup!$B$3:$B$22</f>
        <v>🧘🏻‍♀️Yoga</v>
      </c>
      <c r="J187" s="38" t="b">
        <v>0</v>
      </c>
      <c r="K187" s="38" t="b">
        <v>0</v>
      </c>
      <c r="L187" s="38" t="b">
        <v>0</v>
      </c>
      <c r="M187" s="38" t="b">
        <v>0</v>
      </c>
      <c r="N187" s="38" t="b">
        <v>0</v>
      </c>
      <c r="O187" s="38" t="b">
        <v>0</v>
      </c>
      <c r="P187" s="38" t="b">
        <v>0</v>
      </c>
      <c r="Q187" s="38" t="b">
        <v>0</v>
      </c>
      <c r="R187" s="38" t="b">
        <v>0</v>
      </c>
      <c r="S187" s="38" t="b">
        <v>0</v>
      </c>
      <c r="T187" s="38" t="b">
        <v>0</v>
      </c>
      <c r="U187" s="38" t="b">
        <v>0</v>
      </c>
      <c r="V187" s="38" t="b">
        <v>0</v>
      </c>
      <c r="W187" s="38" t="b">
        <v>0</v>
      </c>
      <c r="X187" s="38" t="b">
        <v>0</v>
      </c>
      <c r="Y187" s="38" t="b">
        <v>0</v>
      </c>
      <c r="Z187" s="38" t="b">
        <v>0</v>
      </c>
      <c r="AA187" s="38" t="b">
        <v>0</v>
      </c>
      <c r="AB187" s="38" t="b">
        <v>0</v>
      </c>
      <c r="AC187" s="38" t="b">
        <v>0</v>
      </c>
      <c r="AD187" s="38" t="b">
        <v>0</v>
      </c>
      <c r="AE187" s="38" t="b">
        <v>0</v>
      </c>
      <c r="AF187" s="38" t="b">
        <v>0</v>
      </c>
      <c r="AG187" s="38" t="b">
        <v>0</v>
      </c>
      <c r="AH187" s="38" t="b">
        <v>0</v>
      </c>
      <c r="AI187" s="38" t="b">
        <v>0</v>
      </c>
      <c r="AJ187" s="38" t="b">
        <v>0</v>
      </c>
      <c r="AK187" s="38" t="b">
        <v>0</v>
      </c>
      <c r="AL187" s="38" t="b">
        <v>0</v>
      </c>
      <c r="AM187" s="38" t="b">
        <v>0</v>
      </c>
      <c r="AN187" s="38"/>
      <c r="AO187" s="25">
        <f t="shared" ref="AO187:AO206" si="109">COUNTIF(J187:AN187, "TRUE")</f>
        <v>0</v>
      </c>
      <c r="AQ187" s="25">
        <f>IFERROR(__xludf.DUMMYFUNCTION("if(iserror(match(true,J187:AN187,0)),0,len(index(split(substitute(substitute(join("","",J187:AN187)&amp;"","",""TRUE,"",""x""),""FALSE,"","",""),"",""),,counta(split(substitute(substitute(join("","",J187:AN187)&amp;"","",""TRUE,"",""x""),""FALSE,"","",""),"",""))"&amp;")))"),0.0)</f>
        <v>0</v>
      </c>
      <c r="AR187" s="25" t="str">
        <f>IFERROR(__xludf.DUMMYFUNCTION("arrayformula( if( sum(J187:AN187 + 0), max( len( split( concatenate( left(J187:AN187) ), ""F"" ) ) ), ""0"" ) )"),"0")</f>
        <v>0</v>
      </c>
      <c r="AS187" s="26">
        <v>15.0</v>
      </c>
      <c r="AT187" s="27">
        <f t="shared" ref="AT187:AT206" si="110">AO187/AS187</f>
        <v>0</v>
      </c>
    </row>
    <row r="188">
      <c r="A188" s="28">
        <f>WEEKNUM(DATE($D$1, MONTH(I185 &amp; 1), 1), 2)
</f>
        <v>36</v>
      </c>
      <c r="B188" s="29">
        <f t="array" ref="B188">IFERROR(DATE($D$1, 1, (A188-1)*7 + 2 - WEEKDAY(DATE($D$1, 1, 1) - MATCH(B187, {"Mon","Tue","Wed","Thu","Fri","Sat","Sun"}, 0))), "")</f>
        <v>46265</v>
      </c>
      <c r="C188" s="30">
        <f t="shared" ref="C188:H188" si="108">B188+1</f>
        <v>46266</v>
      </c>
      <c r="D188" s="30">
        <f t="shared" si="108"/>
        <v>46267</v>
      </c>
      <c r="E188" s="30">
        <f t="shared" si="108"/>
        <v>46268</v>
      </c>
      <c r="F188" s="30">
        <f t="shared" si="108"/>
        <v>46269</v>
      </c>
      <c r="G188" s="30">
        <f t="shared" si="108"/>
        <v>46270</v>
      </c>
      <c r="H188" s="30">
        <f t="shared" si="108"/>
        <v>46271</v>
      </c>
      <c r="I188" s="6" t="s">
        <v>7</v>
      </c>
      <c r="J188" s="38" t="b">
        <v>0</v>
      </c>
      <c r="K188" s="38" t="b">
        <v>0</v>
      </c>
      <c r="L188" s="38" t="b">
        <v>0</v>
      </c>
      <c r="M188" s="38" t="b">
        <v>0</v>
      </c>
      <c r="N188" s="38" t="b">
        <v>0</v>
      </c>
      <c r="O188" s="38" t="b">
        <v>0</v>
      </c>
      <c r="P188" s="38" t="b">
        <v>0</v>
      </c>
      <c r="Q188" s="38" t="b">
        <v>0</v>
      </c>
      <c r="R188" s="38" t="b">
        <v>0</v>
      </c>
      <c r="S188" s="38" t="b">
        <v>0</v>
      </c>
      <c r="T188" s="38" t="b">
        <v>0</v>
      </c>
      <c r="U188" s="38" t="b">
        <v>0</v>
      </c>
      <c r="V188" s="38" t="b">
        <v>0</v>
      </c>
      <c r="W188" s="38" t="b">
        <v>0</v>
      </c>
      <c r="X188" s="38" t="b">
        <v>0</v>
      </c>
      <c r="Y188" s="38" t="b">
        <v>0</v>
      </c>
      <c r="Z188" s="38" t="b">
        <v>0</v>
      </c>
      <c r="AA188" s="38" t="b">
        <v>0</v>
      </c>
      <c r="AB188" s="38" t="b">
        <v>0</v>
      </c>
      <c r="AC188" s="38" t="b">
        <v>0</v>
      </c>
      <c r="AD188" s="38" t="b">
        <v>0</v>
      </c>
      <c r="AE188" s="38" t="b">
        <v>0</v>
      </c>
      <c r="AF188" s="38" t="b">
        <v>0</v>
      </c>
      <c r="AG188" s="38" t="b">
        <v>0</v>
      </c>
      <c r="AH188" s="38" t="b">
        <v>0</v>
      </c>
      <c r="AI188" s="38" t="b">
        <v>0</v>
      </c>
      <c r="AJ188" s="38" t="b">
        <v>0</v>
      </c>
      <c r="AK188" s="38" t="b">
        <v>0</v>
      </c>
      <c r="AL188" s="38" t="b">
        <v>0</v>
      </c>
      <c r="AM188" s="38" t="b">
        <v>0</v>
      </c>
      <c r="AN188" s="38"/>
      <c r="AO188" s="25">
        <f t="shared" si="109"/>
        <v>0</v>
      </c>
      <c r="AQ188" s="25">
        <f>IFERROR(__xludf.DUMMYFUNCTION("if(iserror(match(true,J188:AN188,0)),0,len(index(split(substitute(substitute(join("","",J188:AN188)&amp;"","",""TRUE,"",""x""),""FALSE,"","",""),"",""),,counta(split(substitute(substitute(join("","",J188:AN188)&amp;"","",""TRUE,"",""x""),""FALSE,"","",""),"",""))"&amp;")))"),0.0)</f>
        <v>0</v>
      </c>
      <c r="AR188" s="25" t="str">
        <f>IFERROR(__xludf.DUMMYFUNCTION("arrayformula( if( sum(J188:AN188 + 0), max( len( split( concatenate( left(J188:AN188) ), ""F"" ) ) ), ""0"" ) )"),"0")</f>
        <v>0</v>
      </c>
      <c r="AS188" s="26">
        <v>20.0</v>
      </c>
      <c r="AT188" s="27">
        <f t="shared" si="110"/>
        <v>0</v>
      </c>
    </row>
    <row r="189">
      <c r="A189" s="31">
        <f t="shared" ref="A189:A193" si="112">A188+1</f>
        <v>37</v>
      </c>
      <c r="B189" s="30">
        <f t="shared" ref="B189:B193" si="113">H188+1</f>
        <v>46272</v>
      </c>
      <c r="C189" s="30">
        <f t="shared" ref="C189:H189" si="111">B189+1</f>
        <v>46273</v>
      </c>
      <c r="D189" s="30">
        <f t="shared" si="111"/>
        <v>46274</v>
      </c>
      <c r="E189" s="30">
        <f t="shared" si="111"/>
        <v>46275</v>
      </c>
      <c r="F189" s="30">
        <f t="shared" si="111"/>
        <v>46276</v>
      </c>
      <c r="G189" s="30">
        <f t="shared" si="111"/>
        <v>46277</v>
      </c>
      <c r="H189" s="30">
        <f t="shared" si="111"/>
        <v>46278</v>
      </c>
      <c r="I189" s="6" t="s">
        <v>11</v>
      </c>
      <c r="J189" s="38" t="b">
        <v>0</v>
      </c>
      <c r="K189" s="38" t="b">
        <v>0</v>
      </c>
      <c r="L189" s="38" t="b">
        <v>0</v>
      </c>
      <c r="M189" s="38" t="b">
        <v>0</v>
      </c>
      <c r="N189" s="38" t="b">
        <v>0</v>
      </c>
      <c r="O189" s="38" t="b">
        <v>0</v>
      </c>
      <c r="P189" s="38" t="b">
        <v>0</v>
      </c>
      <c r="Q189" s="38" t="b">
        <v>0</v>
      </c>
      <c r="R189" s="38" t="b">
        <v>0</v>
      </c>
      <c r="S189" s="38" t="b">
        <v>0</v>
      </c>
      <c r="T189" s="38" t="b">
        <v>0</v>
      </c>
      <c r="U189" s="38" t="b">
        <v>0</v>
      </c>
      <c r="V189" s="38" t="b">
        <v>0</v>
      </c>
      <c r="W189" s="38" t="b">
        <v>0</v>
      </c>
      <c r="X189" s="38" t="b">
        <v>0</v>
      </c>
      <c r="Y189" s="38" t="b">
        <v>0</v>
      </c>
      <c r="Z189" s="38" t="b">
        <v>0</v>
      </c>
      <c r="AA189" s="38" t="b">
        <v>0</v>
      </c>
      <c r="AB189" s="38" t="b">
        <v>0</v>
      </c>
      <c r="AC189" s="38" t="b">
        <v>0</v>
      </c>
      <c r="AD189" s="38" t="b">
        <v>0</v>
      </c>
      <c r="AE189" s="38" t="b">
        <v>0</v>
      </c>
      <c r="AF189" s="38" t="b">
        <v>0</v>
      </c>
      <c r="AG189" s="38" t="b">
        <v>0</v>
      </c>
      <c r="AH189" s="38" t="b">
        <v>0</v>
      </c>
      <c r="AI189" s="38" t="b">
        <v>0</v>
      </c>
      <c r="AJ189" s="38" t="b">
        <v>0</v>
      </c>
      <c r="AK189" s="38" t="b">
        <v>0</v>
      </c>
      <c r="AL189" s="38" t="b">
        <v>0</v>
      </c>
      <c r="AM189" s="38" t="b">
        <v>0</v>
      </c>
      <c r="AN189" s="38"/>
      <c r="AO189" s="25">
        <f t="shared" si="109"/>
        <v>0</v>
      </c>
      <c r="AQ189" s="25">
        <f>IFERROR(__xludf.DUMMYFUNCTION("if(iserror(match(true,J189:AN189,0)),0,len(index(split(substitute(substitute(join("","",J189:AN189)&amp;"","",""TRUE,"",""x""),""FALSE,"","",""),"",""),,counta(split(substitute(substitute(join("","",J189:AN189)&amp;"","",""TRUE,"",""x""),""FALSE,"","",""),"",""))"&amp;")))"),0.0)</f>
        <v>0</v>
      </c>
      <c r="AR189" s="25" t="str">
        <f>IFERROR(__xludf.DUMMYFUNCTION("arrayformula( if( sum(J189:AN189 + 0), max( len( split( concatenate( left(J189:AN189) ), ""F"" ) ) ), ""0"" ) )"),"0")</f>
        <v>0</v>
      </c>
      <c r="AS189" s="26">
        <v>30.0</v>
      </c>
      <c r="AT189" s="27">
        <f t="shared" si="110"/>
        <v>0</v>
      </c>
    </row>
    <row r="190">
      <c r="A190" s="31">
        <f t="shared" si="112"/>
        <v>38</v>
      </c>
      <c r="B190" s="30">
        <f t="shared" si="113"/>
        <v>46279</v>
      </c>
      <c r="C190" s="30">
        <f t="shared" ref="C190:H190" si="114">B190+1</f>
        <v>46280</v>
      </c>
      <c r="D190" s="30">
        <f t="shared" si="114"/>
        <v>46281</v>
      </c>
      <c r="E190" s="30">
        <f t="shared" si="114"/>
        <v>46282</v>
      </c>
      <c r="F190" s="30">
        <f t="shared" si="114"/>
        <v>46283</v>
      </c>
      <c r="G190" s="30">
        <f t="shared" si="114"/>
        <v>46284</v>
      </c>
      <c r="H190" s="30">
        <f t="shared" si="114"/>
        <v>46285</v>
      </c>
      <c r="I190" s="6" t="s">
        <v>14</v>
      </c>
      <c r="J190" s="38" t="b">
        <v>0</v>
      </c>
      <c r="K190" s="38" t="b">
        <v>0</v>
      </c>
      <c r="L190" s="38" t="b">
        <v>0</v>
      </c>
      <c r="M190" s="38" t="b">
        <v>0</v>
      </c>
      <c r="N190" s="38" t="b">
        <v>0</v>
      </c>
      <c r="O190" s="38" t="b">
        <v>0</v>
      </c>
      <c r="P190" s="38" t="b">
        <v>0</v>
      </c>
      <c r="Q190" s="38" t="b">
        <v>0</v>
      </c>
      <c r="R190" s="38" t="b">
        <v>0</v>
      </c>
      <c r="S190" s="38" t="b">
        <v>0</v>
      </c>
      <c r="T190" s="38" t="b">
        <v>0</v>
      </c>
      <c r="U190" s="38" t="b">
        <v>0</v>
      </c>
      <c r="V190" s="38" t="b">
        <v>0</v>
      </c>
      <c r="W190" s="38" t="b">
        <v>0</v>
      </c>
      <c r="X190" s="38" t="b">
        <v>0</v>
      </c>
      <c r="Y190" s="38" t="b">
        <v>0</v>
      </c>
      <c r="Z190" s="38" t="b">
        <v>0</v>
      </c>
      <c r="AA190" s="38" t="b">
        <v>0</v>
      </c>
      <c r="AB190" s="38" t="b">
        <v>0</v>
      </c>
      <c r="AC190" s="38" t="b">
        <v>0</v>
      </c>
      <c r="AD190" s="38" t="b">
        <v>0</v>
      </c>
      <c r="AE190" s="38" t="b">
        <v>0</v>
      </c>
      <c r="AF190" s="38" t="b">
        <v>0</v>
      </c>
      <c r="AG190" s="38" t="b">
        <v>0</v>
      </c>
      <c r="AH190" s="38" t="b">
        <v>0</v>
      </c>
      <c r="AI190" s="38" t="b">
        <v>0</v>
      </c>
      <c r="AJ190" s="38" t="b">
        <v>0</v>
      </c>
      <c r="AK190" s="38" t="b">
        <v>0</v>
      </c>
      <c r="AL190" s="38" t="b">
        <v>0</v>
      </c>
      <c r="AM190" s="38" t="b">
        <v>0</v>
      </c>
      <c r="AN190" s="38"/>
      <c r="AO190" s="25">
        <f t="shared" si="109"/>
        <v>0</v>
      </c>
      <c r="AQ190" s="25">
        <f>IFERROR(__xludf.DUMMYFUNCTION("if(iserror(match(true,J190:AN190,0)),0,len(index(split(substitute(substitute(join("","",J190:AN190)&amp;"","",""TRUE,"",""x""),""FALSE,"","",""),"",""),,counta(split(substitute(substitute(join("","",J190:AN190)&amp;"","",""TRUE,"",""x""),""FALSE,"","",""),"",""))"&amp;")))"),0.0)</f>
        <v>0</v>
      </c>
      <c r="AR190" s="25" t="str">
        <f>IFERROR(__xludf.DUMMYFUNCTION("arrayformula( if( sum(J190:AN190 + 0), max( len( split( concatenate( left(J190:AN190) ), ""F"" ) ) ), ""0"" ) )"),"0")</f>
        <v>0</v>
      </c>
      <c r="AS190" s="26">
        <v>20.0</v>
      </c>
      <c r="AT190" s="27">
        <f t="shared" si="110"/>
        <v>0</v>
      </c>
    </row>
    <row r="191">
      <c r="A191" s="31">
        <f t="shared" si="112"/>
        <v>39</v>
      </c>
      <c r="B191" s="30">
        <f t="shared" si="113"/>
        <v>46286</v>
      </c>
      <c r="C191" s="30">
        <f t="shared" ref="C191:H191" si="115">B191+1</f>
        <v>46287</v>
      </c>
      <c r="D191" s="30">
        <f t="shared" si="115"/>
        <v>46288</v>
      </c>
      <c r="E191" s="30">
        <f t="shared" si="115"/>
        <v>46289</v>
      </c>
      <c r="F191" s="30">
        <f t="shared" si="115"/>
        <v>46290</v>
      </c>
      <c r="G191" s="30">
        <f t="shared" si="115"/>
        <v>46291</v>
      </c>
      <c r="H191" s="30">
        <f t="shared" si="115"/>
        <v>46292</v>
      </c>
      <c r="I191" s="6" t="s">
        <v>17</v>
      </c>
      <c r="J191" s="38" t="b">
        <v>0</v>
      </c>
      <c r="K191" s="38" t="b">
        <v>0</v>
      </c>
      <c r="L191" s="38" t="b">
        <v>0</v>
      </c>
      <c r="M191" s="38" t="b">
        <v>0</v>
      </c>
      <c r="N191" s="38" t="b">
        <v>0</v>
      </c>
      <c r="O191" s="38" t="b">
        <v>0</v>
      </c>
      <c r="P191" s="38" t="b">
        <v>0</v>
      </c>
      <c r="Q191" s="38" t="b">
        <v>0</v>
      </c>
      <c r="R191" s="38" t="b">
        <v>0</v>
      </c>
      <c r="S191" s="38" t="b">
        <v>0</v>
      </c>
      <c r="T191" s="38" t="b">
        <v>0</v>
      </c>
      <c r="U191" s="38" t="b">
        <v>0</v>
      </c>
      <c r="V191" s="38" t="b">
        <v>0</v>
      </c>
      <c r="W191" s="38" t="b">
        <v>0</v>
      </c>
      <c r="X191" s="38" t="b">
        <v>0</v>
      </c>
      <c r="Y191" s="38" t="b">
        <v>0</v>
      </c>
      <c r="Z191" s="38" t="b">
        <v>0</v>
      </c>
      <c r="AA191" s="38" t="b">
        <v>0</v>
      </c>
      <c r="AB191" s="38" t="b">
        <v>0</v>
      </c>
      <c r="AC191" s="38" t="b">
        <v>0</v>
      </c>
      <c r="AD191" s="38" t="b">
        <v>0</v>
      </c>
      <c r="AE191" s="38" t="b">
        <v>0</v>
      </c>
      <c r="AF191" s="38" t="b">
        <v>0</v>
      </c>
      <c r="AG191" s="38" t="b">
        <v>0</v>
      </c>
      <c r="AH191" s="38" t="b">
        <v>0</v>
      </c>
      <c r="AI191" s="38" t="b">
        <v>0</v>
      </c>
      <c r="AJ191" s="38" t="b">
        <v>0</v>
      </c>
      <c r="AK191" s="38" t="b">
        <v>0</v>
      </c>
      <c r="AL191" s="24" t="b">
        <v>0</v>
      </c>
      <c r="AM191" s="38" t="b">
        <v>0</v>
      </c>
      <c r="AN191" s="38"/>
      <c r="AO191" s="25">
        <f t="shared" si="109"/>
        <v>0</v>
      </c>
      <c r="AQ191" s="25">
        <f>IFERROR(__xludf.DUMMYFUNCTION("if(iserror(match(true,J191:AN191,0)),0,len(index(split(substitute(substitute(join("","",J191:AN191)&amp;"","",""TRUE,"",""x""),""FALSE,"","",""),"",""),,counta(split(substitute(substitute(join("","",J191:AN191)&amp;"","",""TRUE,"",""x""),""FALSE,"","",""),"",""))"&amp;")))"),0.0)</f>
        <v>0</v>
      </c>
      <c r="AR191" s="25" t="str">
        <f>IFERROR(__xludf.DUMMYFUNCTION("arrayformula( if( sum(J191:AN191 + 0), max( len( split( concatenate( left(J191:AN191) ), ""F"" ) ) ), ""0"" ) )"),"0")</f>
        <v>0</v>
      </c>
      <c r="AS191" s="26">
        <v>20.0</v>
      </c>
      <c r="AT191" s="27">
        <f t="shared" si="110"/>
        <v>0</v>
      </c>
    </row>
    <row r="192">
      <c r="A192" s="31">
        <f t="shared" si="112"/>
        <v>40</v>
      </c>
      <c r="B192" s="30">
        <f t="shared" si="113"/>
        <v>46293</v>
      </c>
      <c r="C192" s="30">
        <f t="shared" ref="C192:H192" si="116">B192+1</f>
        <v>46294</v>
      </c>
      <c r="D192" s="30">
        <f t="shared" si="116"/>
        <v>46295</v>
      </c>
      <c r="E192" s="30">
        <f t="shared" si="116"/>
        <v>46296</v>
      </c>
      <c r="F192" s="30">
        <f t="shared" si="116"/>
        <v>46297</v>
      </c>
      <c r="G192" s="30">
        <f t="shared" si="116"/>
        <v>46298</v>
      </c>
      <c r="H192" s="30">
        <f t="shared" si="116"/>
        <v>46299</v>
      </c>
      <c r="I192" s="6" t="s">
        <v>20</v>
      </c>
      <c r="J192" s="38" t="b">
        <v>0</v>
      </c>
      <c r="K192" s="38" t="b">
        <v>0</v>
      </c>
      <c r="L192" s="38" t="b">
        <v>0</v>
      </c>
      <c r="M192" s="38" t="b">
        <v>0</v>
      </c>
      <c r="N192" s="38" t="b">
        <v>0</v>
      </c>
      <c r="O192" s="38" t="b">
        <v>0</v>
      </c>
      <c r="P192" s="38" t="b">
        <v>0</v>
      </c>
      <c r="Q192" s="38" t="b">
        <v>0</v>
      </c>
      <c r="R192" s="38" t="b">
        <v>0</v>
      </c>
      <c r="S192" s="38" t="b">
        <v>0</v>
      </c>
      <c r="T192" s="38" t="b">
        <v>0</v>
      </c>
      <c r="U192" s="38" t="b">
        <v>0</v>
      </c>
      <c r="V192" s="38" t="b">
        <v>0</v>
      </c>
      <c r="W192" s="38" t="b">
        <v>0</v>
      </c>
      <c r="X192" s="38" t="b">
        <v>0</v>
      </c>
      <c r="Y192" s="38" t="b">
        <v>0</v>
      </c>
      <c r="Z192" s="38" t="b">
        <v>0</v>
      </c>
      <c r="AA192" s="38" t="b">
        <v>0</v>
      </c>
      <c r="AB192" s="38" t="b">
        <v>0</v>
      </c>
      <c r="AC192" s="38" t="b">
        <v>0</v>
      </c>
      <c r="AD192" s="38" t="b">
        <v>0</v>
      </c>
      <c r="AE192" s="38" t="b">
        <v>0</v>
      </c>
      <c r="AF192" s="38" t="b">
        <v>0</v>
      </c>
      <c r="AG192" s="38" t="b">
        <v>0</v>
      </c>
      <c r="AH192" s="38" t="b">
        <v>0</v>
      </c>
      <c r="AI192" s="38" t="b">
        <v>0</v>
      </c>
      <c r="AJ192" s="38" t="b">
        <v>0</v>
      </c>
      <c r="AK192" s="38" t="b">
        <v>0</v>
      </c>
      <c r="AL192" s="38" t="b">
        <v>0</v>
      </c>
      <c r="AM192" s="38" t="b">
        <v>0</v>
      </c>
      <c r="AN192" s="38"/>
      <c r="AO192" s="25">
        <f t="shared" si="109"/>
        <v>0</v>
      </c>
      <c r="AQ192" s="25">
        <f>IFERROR(__xludf.DUMMYFUNCTION("if(iserror(match(true,J192:AN192,0)),0,len(index(split(substitute(substitute(join("","",J192:AN192)&amp;"","",""TRUE,"",""x""),""FALSE,"","",""),"",""),,counta(split(substitute(substitute(join("","",J192:AN192)&amp;"","",""TRUE,"",""x""),""FALSE,"","",""),"",""))"&amp;")))"),0.0)</f>
        <v>0</v>
      </c>
      <c r="AR192" s="25" t="str">
        <f>IFERROR(__xludf.DUMMYFUNCTION("arrayformula( if( sum(J192:AN192 + 0), max( len( split( concatenate( left(J192:AN192) ), ""F"" ) ) ), ""0"" ) )"),"0")</f>
        <v>0</v>
      </c>
      <c r="AS192" s="26">
        <v>15.0</v>
      </c>
      <c r="AT192" s="27">
        <f t="shared" si="110"/>
        <v>0</v>
      </c>
    </row>
    <row r="193">
      <c r="A193" s="31">
        <f t="shared" si="112"/>
        <v>41</v>
      </c>
      <c r="B193" s="30">
        <f t="shared" si="113"/>
        <v>46300</v>
      </c>
      <c r="C193" s="30">
        <f t="shared" ref="C193:H193" si="117">B193+1</f>
        <v>46301</v>
      </c>
      <c r="D193" s="30">
        <f t="shared" si="117"/>
        <v>46302</v>
      </c>
      <c r="E193" s="30">
        <f t="shared" si="117"/>
        <v>46303</v>
      </c>
      <c r="F193" s="30">
        <f t="shared" si="117"/>
        <v>46304</v>
      </c>
      <c r="G193" s="30">
        <f t="shared" si="117"/>
        <v>46305</v>
      </c>
      <c r="H193" s="30">
        <f t="shared" si="117"/>
        <v>46306</v>
      </c>
      <c r="I193" s="6"/>
      <c r="J193" s="38" t="b">
        <v>0</v>
      </c>
      <c r="K193" s="38" t="b">
        <v>0</v>
      </c>
      <c r="L193" s="38" t="b">
        <v>0</v>
      </c>
      <c r="M193" s="38" t="b">
        <v>0</v>
      </c>
      <c r="N193" s="38" t="b">
        <v>0</v>
      </c>
      <c r="O193" s="38" t="b">
        <v>0</v>
      </c>
      <c r="P193" s="38" t="b">
        <v>0</v>
      </c>
      <c r="Q193" s="38" t="b">
        <v>0</v>
      </c>
      <c r="R193" s="38" t="b">
        <v>0</v>
      </c>
      <c r="S193" s="38" t="b">
        <v>0</v>
      </c>
      <c r="T193" s="38" t="b">
        <v>0</v>
      </c>
      <c r="U193" s="38" t="b">
        <v>0</v>
      </c>
      <c r="V193" s="38" t="b">
        <v>0</v>
      </c>
      <c r="W193" s="38" t="b">
        <v>0</v>
      </c>
      <c r="X193" s="38" t="b">
        <v>0</v>
      </c>
      <c r="Y193" s="38" t="b">
        <v>0</v>
      </c>
      <c r="Z193" s="38" t="b">
        <v>0</v>
      </c>
      <c r="AA193" s="38" t="b">
        <v>0</v>
      </c>
      <c r="AB193" s="38" t="b">
        <v>0</v>
      </c>
      <c r="AC193" s="38" t="b">
        <v>0</v>
      </c>
      <c r="AD193" s="38" t="b">
        <v>0</v>
      </c>
      <c r="AE193" s="38" t="b">
        <v>0</v>
      </c>
      <c r="AF193" s="38" t="b">
        <v>0</v>
      </c>
      <c r="AG193" s="38" t="b">
        <v>0</v>
      </c>
      <c r="AH193" s="38" t="b">
        <v>0</v>
      </c>
      <c r="AI193" s="38" t="b">
        <v>0</v>
      </c>
      <c r="AJ193" s="38" t="b">
        <v>0</v>
      </c>
      <c r="AK193" s="38" t="b">
        <v>0</v>
      </c>
      <c r="AL193" s="38" t="b">
        <v>0</v>
      </c>
      <c r="AM193" s="38" t="b">
        <v>0</v>
      </c>
      <c r="AN193" s="38"/>
      <c r="AO193" s="25">
        <f t="shared" si="109"/>
        <v>0</v>
      </c>
      <c r="AQ193" s="25">
        <f>IFERROR(__xludf.DUMMYFUNCTION("if(iserror(match(true,J193:AN193,0)),0,len(index(split(substitute(substitute(join("","",J193:AN193)&amp;"","",""TRUE,"",""x""),""FALSE,"","",""),"",""),,counta(split(substitute(substitute(join("","",J193:AN193)&amp;"","",""TRUE,"",""x""),""FALSE,"","",""),"",""))"&amp;")))"),0.0)</f>
        <v>0</v>
      </c>
      <c r="AR193" s="25" t="str">
        <f>IFERROR(__xludf.DUMMYFUNCTION("arrayformula( if( sum(J193:AN193 + 0), max( len( split( concatenate( left(J193:AN193) ), ""F"" ) ) ), ""0"" ) )"),"0")</f>
        <v>0</v>
      </c>
      <c r="AS193" s="26">
        <v>15.0</v>
      </c>
      <c r="AT193" s="27">
        <f t="shared" si="110"/>
        <v>0</v>
      </c>
    </row>
    <row r="194" hidden="1">
      <c r="A194" s="39"/>
      <c r="B194" s="40"/>
      <c r="C194" s="40"/>
      <c r="D194" s="40"/>
      <c r="E194" s="40"/>
      <c r="F194" s="40"/>
      <c r="G194" s="40"/>
      <c r="H194" s="41"/>
      <c r="I194" s="6"/>
      <c r="J194" s="38" t="b">
        <v>0</v>
      </c>
      <c r="K194" s="38" t="b">
        <v>0</v>
      </c>
      <c r="L194" s="38" t="b">
        <v>0</v>
      </c>
      <c r="M194" s="38" t="b">
        <v>0</v>
      </c>
      <c r="N194" s="38" t="b">
        <v>0</v>
      </c>
      <c r="O194" s="38" t="b">
        <v>0</v>
      </c>
      <c r="P194" s="38" t="b">
        <v>0</v>
      </c>
      <c r="Q194" s="38" t="b">
        <v>0</v>
      </c>
      <c r="R194" s="38" t="b">
        <v>0</v>
      </c>
      <c r="S194" s="38" t="b">
        <v>0</v>
      </c>
      <c r="T194" s="38" t="b">
        <v>0</v>
      </c>
      <c r="U194" s="38" t="b">
        <v>0</v>
      </c>
      <c r="V194" s="38" t="b">
        <v>0</v>
      </c>
      <c r="W194" s="38" t="b">
        <v>0</v>
      </c>
      <c r="X194" s="38" t="b">
        <v>0</v>
      </c>
      <c r="Y194" s="38" t="b">
        <v>0</v>
      </c>
      <c r="Z194" s="38" t="b">
        <v>0</v>
      </c>
      <c r="AA194" s="38" t="b">
        <v>0</v>
      </c>
      <c r="AB194" s="38" t="b">
        <v>0</v>
      </c>
      <c r="AC194" s="38" t="b">
        <v>0</v>
      </c>
      <c r="AD194" s="38" t="b">
        <v>0</v>
      </c>
      <c r="AE194" s="38" t="b">
        <v>0</v>
      </c>
      <c r="AF194" s="38" t="b">
        <v>0</v>
      </c>
      <c r="AG194" s="38" t="b">
        <v>0</v>
      </c>
      <c r="AH194" s="38" t="b">
        <v>0</v>
      </c>
      <c r="AI194" s="38" t="b">
        <v>0</v>
      </c>
      <c r="AJ194" s="38" t="b">
        <v>0</v>
      </c>
      <c r="AK194" s="38" t="b">
        <v>0</v>
      </c>
      <c r="AL194" s="38" t="b">
        <v>0</v>
      </c>
      <c r="AM194" s="38" t="b">
        <v>0</v>
      </c>
      <c r="AN194" s="38"/>
      <c r="AO194" s="25">
        <f t="shared" si="109"/>
        <v>0</v>
      </c>
      <c r="AQ194" s="25">
        <f>IFERROR(__xludf.DUMMYFUNCTION("if(iserror(match(true,J194:AN194,0)),0,len(index(split(substitute(substitute(join("","",J194:AN194)&amp;"","",""TRUE,"",""x""),""FALSE,"","",""),"",""),,counta(split(substitute(substitute(join("","",J194:AN194)&amp;"","",""TRUE,"",""x""),""FALSE,"","",""),"",""))"&amp;")))"),0.0)</f>
        <v>0</v>
      </c>
      <c r="AR194" s="25" t="str">
        <f>IFERROR(__xludf.DUMMYFUNCTION("arrayformula( if( sum(J194:AN194 + 0), max( len( split( concatenate( left(J194:AN194) ), ""F"" ) ) ), ""0"" ) )"),"0")</f>
        <v>0</v>
      </c>
      <c r="AS194" s="26">
        <v>15.0</v>
      </c>
      <c r="AT194" s="27">
        <f t="shared" si="110"/>
        <v>0</v>
      </c>
    </row>
    <row r="195" hidden="1">
      <c r="A195" s="39"/>
      <c r="B195" s="40"/>
      <c r="C195" s="40"/>
      <c r="D195" s="40"/>
      <c r="E195" s="40"/>
      <c r="F195" s="40"/>
      <c r="G195" s="40"/>
      <c r="H195" s="41"/>
      <c r="I195" s="6"/>
      <c r="J195" s="38" t="b">
        <v>0</v>
      </c>
      <c r="K195" s="38" t="b">
        <v>0</v>
      </c>
      <c r="L195" s="38" t="b">
        <v>0</v>
      </c>
      <c r="M195" s="38" t="b">
        <v>0</v>
      </c>
      <c r="N195" s="38" t="b">
        <v>0</v>
      </c>
      <c r="O195" s="38" t="b">
        <v>0</v>
      </c>
      <c r="P195" s="38" t="b">
        <v>0</v>
      </c>
      <c r="Q195" s="38" t="b">
        <v>0</v>
      </c>
      <c r="R195" s="38" t="b">
        <v>0</v>
      </c>
      <c r="S195" s="38" t="b">
        <v>0</v>
      </c>
      <c r="T195" s="38" t="b">
        <v>0</v>
      </c>
      <c r="U195" s="38" t="b">
        <v>0</v>
      </c>
      <c r="V195" s="38" t="b">
        <v>0</v>
      </c>
      <c r="W195" s="38" t="b">
        <v>0</v>
      </c>
      <c r="X195" s="38" t="b">
        <v>0</v>
      </c>
      <c r="Y195" s="38" t="b">
        <v>0</v>
      </c>
      <c r="Z195" s="38" t="b">
        <v>0</v>
      </c>
      <c r="AA195" s="38" t="b">
        <v>0</v>
      </c>
      <c r="AB195" s="38" t="b">
        <v>0</v>
      </c>
      <c r="AC195" s="38" t="b">
        <v>0</v>
      </c>
      <c r="AD195" s="38" t="b">
        <v>0</v>
      </c>
      <c r="AE195" s="38" t="b">
        <v>0</v>
      </c>
      <c r="AF195" s="38" t="b">
        <v>0</v>
      </c>
      <c r="AG195" s="38" t="b">
        <v>0</v>
      </c>
      <c r="AH195" s="38" t="b">
        <v>0</v>
      </c>
      <c r="AI195" s="38" t="b">
        <v>0</v>
      </c>
      <c r="AJ195" s="38" t="b">
        <v>0</v>
      </c>
      <c r="AK195" s="38" t="b">
        <v>0</v>
      </c>
      <c r="AL195" s="38" t="b">
        <v>0</v>
      </c>
      <c r="AM195" s="38" t="b">
        <v>0</v>
      </c>
      <c r="AN195" s="38"/>
      <c r="AO195" s="25">
        <f t="shared" si="109"/>
        <v>0</v>
      </c>
      <c r="AQ195" s="25">
        <f>IFERROR(__xludf.DUMMYFUNCTION("if(iserror(match(true,J195:AN195,0)),0,len(index(split(substitute(substitute(join("","",J195:AN195)&amp;"","",""TRUE,"",""x""),""FALSE,"","",""),"",""),,counta(split(substitute(substitute(join("","",J195:AN195)&amp;"","",""TRUE,"",""x""),""FALSE,"","",""),"",""))"&amp;")))"),0.0)</f>
        <v>0</v>
      </c>
      <c r="AR195" s="25" t="str">
        <f>IFERROR(__xludf.DUMMYFUNCTION("arrayformula( if( sum(J195:AN195 + 0), max( len( split( concatenate( left(J195:AN195) ), ""F"" ) ) ), ""0"" ) )"),"0")</f>
        <v>0</v>
      </c>
      <c r="AS195" s="26">
        <v>15.0</v>
      </c>
      <c r="AT195" s="27">
        <f t="shared" si="110"/>
        <v>0</v>
      </c>
    </row>
    <row r="196" hidden="1">
      <c r="A196" s="39"/>
      <c r="B196" s="40"/>
      <c r="C196" s="40"/>
      <c r="D196" s="40"/>
      <c r="E196" s="40"/>
      <c r="F196" s="40"/>
      <c r="G196" s="40"/>
      <c r="H196" s="41"/>
      <c r="I196" s="6"/>
      <c r="J196" s="38" t="b">
        <v>0</v>
      </c>
      <c r="K196" s="38" t="b">
        <v>0</v>
      </c>
      <c r="L196" s="38" t="b">
        <v>0</v>
      </c>
      <c r="M196" s="38" t="b">
        <v>0</v>
      </c>
      <c r="N196" s="38" t="b">
        <v>0</v>
      </c>
      <c r="O196" s="38" t="b">
        <v>0</v>
      </c>
      <c r="P196" s="38" t="b">
        <v>0</v>
      </c>
      <c r="Q196" s="38" t="b">
        <v>0</v>
      </c>
      <c r="R196" s="38" t="b">
        <v>0</v>
      </c>
      <c r="S196" s="38" t="b">
        <v>0</v>
      </c>
      <c r="T196" s="38" t="b">
        <v>0</v>
      </c>
      <c r="U196" s="38" t="b">
        <v>0</v>
      </c>
      <c r="V196" s="38" t="b">
        <v>0</v>
      </c>
      <c r="W196" s="38" t="b">
        <v>0</v>
      </c>
      <c r="X196" s="38" t="b">
        <v>0</v>
      </c>
      <c r="Y196" s="38" t="b">
        <v>0</v>
      </c>
      <c r="Z196" s="38" t="b">
        <v>0</v>
      </c>
      <c r="AA196" s="38" t="b">
        <v>0</v>
      </c>
      <c r="AB196" s="38" t="b">
        <v>0</v>
      </c>
      <c r="AC196" s="38" t="b">
        <v>0</v>
      </c>
      <c r="AD196" s="38" t="b">
        <v>0</v>
      </c>
      <c r="AE196" s="38" t="b">
        <v>0</v>
      </c>
      <c r="AF196" s="38" t="b">
        <v>0</v>
      </c>
      <c r="AG196" s="38" t="b">
        <v>0</v>
      </c>
      <c r="AH196" s="38" t="b">
        <v>0</v>
      </c>
      <c r="AI196" s="38" t="b">
        <v>0</v>
      </c>
      <c r="AJ196" s="38" t="b">
        <v>0</v>
      </c>
      <c r="AK196" s="38" t="b">
        <v>0</v>
      </c>
      <c r="AL196" s="38" t="b">
        <v>0</v>
      </c>
      <c r="AM196" s="38" t="b">
        <v>0</v>
      </c>
      <c r="AN196" s="38"/>
      <c r="AO196" s="25">
        <f t="shared" si="109"/>
        <v>0</v>
      </c>
      <c r="AQ196" s="25">
        <f>IFERROR(__xludf.DUMMYFUNCTION("if(iserror(match(true,J196:AN196,0)),0,len(index(split(substitute(substitute(join("","",J196:AN196)&amp;"","",""TRUE,"",""x""),""FALSE,"","",""),"",""),,counta(split(substitute(substitute(join("","",J196:AN196)&amp;"","",""TRUE,"",""x""),""FALSE,"","",""),"",""))"&amp;")))"),0.0)</f>
        <v>0</v>
      </c>
      <c r="AR196" s="25" t="str">
        <f>IFERROR(__xludf.DUMMYFUNCTION("arrayformula( if( sum(J196:AN196 + 0), max( len( split( concatenate( left(J196:AN196) ), ""F"" ) ) ), ""0"" ) )"),"0")</f>
        <v>0</v>
      </c>
      <c r="AS196" s="26">
        <v>15.0</v>
      </c>
      <c r="AT196" s="27">
        <f t="shared" si="110"/>
        <v>0</v>
      </c>
    </row>
    <row r="197" hidden="1">
      <c r="A197" s="39"/>
      <c r="B197" s="40"/>
      <c r="C197" s="40"/>
      <c r="D197" s="40"/>
      <c r="E197" s="40"/>
      <c r="F197" s="40"/>
      <c r="G197" s="40"/>
      <c r="H197" s="41"/>
      <c r="I197" s="6"/>
      <c r="J197" s="38" t="b">
        <v>0</v>
      </c>
      <c r="K197" s="38" t="b">
        <v>0</v>
      </c>
      <c r="L197" s="38" t="b">
        <v>0</v>
      </c>
      <c r="M197" s="38" t="b">
        <v>0</v>
      </c>
      <c r="N197" s="38" t="b">
        <v>0</v>
      </c>
      <c r="O197" s="38" t="b">
        <v>0</v>
      </c>
      <c r="P197" s="38" t="b">
        <v>0</v>
      </c>
      <c r="Q197" s="38" t="b">
        <v>0</v>
      </c>
      <c r="R197" s="38" t="b">
        <v>0</v>
      </c>
      <c r="S197" s="38" t="b">
        <v>0</v>
      </c>
      <c r="T197" s="38" t="b">
        <v>0</v>
      </c>
      <c r="U197" s="38" t="b">
        <v>0</v>
      </c>
      <c r="V197" s="38" t="b">
        <v>0</v>
      </c>
      <c r="W197" s="38" t="b">
        <v>0</v>
      </c>
      <c r="X197" s="38" t="b">
        <v>0</v>
      </c>
      <c r="Y197" s="38" t="b">
        <v>0</v>
      </c>
      <c r="Z197" s="38" t="b">
        <v>0</v>
      </c>
      <c r="AA197" s="38" t="b">
        <v>0</v>
      </c>
      <c r="AB197" s="38" t="b">
        <v>0</v>
      </c>
      <c r="AC197" s="38" t="b">
        <v>0</v>
      </c>
      <c r="AD197" s="38" t="b">
        <v>0</v>
      </c>
      <c r="AE197" s="38" t="b">
        <v>0</v>
      </c>
      <c r="AF197" s="38" t="b">
        <v>0</v>
      </c>
      <c r="AG197" s="38" t="b">
        <v>0</v>
      </c>
      <c r="AH197" s="38" t="b">
        <v>0</v>
      </c>
      <c r="AI197" s="38" t="b">
        <v>0</v>
      </c>
      <c r="AJ197" s="38" t="b">
        <v>0</v>
      </c>
      <c r="AK197" s="38" t="b">
        <v>0</v>
      </c>
      <c r="AL197" s="38" t="b">
        <v>0</v>
      </c>
      <c r="AM197" s="38" t="b">
        <v>0</v>
      </c>
      <c r="AN197" s="38"/>
      <c r="AO197" s="25">
        <f t="shared" si="109"/>
        <v>0</v>
      </c>
      <c r="AQ197" s="25">
        <f>IFERROR(__xludf.DUMMYFUNCTION("if(iserror(match(true,J197:AN197,0)),0,len(index(split(substitute(substitute(join("","",J197:AN197)&amp;"","",""TRUE,"",""x""),""FALSE,"","",""),"",""),,counta(split(substitute(substitute(join("","",J197:AN197)&amp;"","",""TRUE,"",""x""),""FALSE,"","",""),"",""))"&amp;")))"),0.0)</f>
        <v>0</v>
      </c>
      <c r="AR197" s="25" t="str">
        <f>IFERROR(__xludf.DUMMYFUNCTION("arrayformula( if( sum(J197:AN197 + 0), max( len( split( concatenate( left(J197:AN197) ), ""F"" ) ) ), ""0"" ) )"),"0")</f>
        <v>0</v>
      </c>
      <c r="AS197" s="26">
        <v>15.0</v>
      </c>
      <c r="AT197" s="27">
        <f t="shared" si="110"/>
        <v>0</v>
      </c>
    </row>
    <row r="198" hidden="1">
      <c r="A198" s="39"/>
      <c r="B198" s="40"/>
      <c r="C198" s="40"/>
      <c r="D198" s="40"/>
      <c r="E198" s="40"/>
      <c r="F198" s="40"/>
      <c r="G198" s="40"/>
      <c r="H198" s="41"/>
      <c r="I198" s="6"/>
      <c r="J198" s="38" t="b">
        <v>0</v>
      </c>
      <c r="K198" s="38" t="b">
        <v>0</v>
      </c>
      <c r="L198" s="38" t="b">
        <v>0</v>
      </c>
      <c r="M198" s="38" t="b">
        <v>0</v>
      </c>
      <c r="N198" s="38" t="b">
        <v>0</v>
      </c>
      <c r="O198" s="38" t="b">
        <v>0</v>
      </c>
      <c r="P198" s="38" t="b">
        <v>0</v>
      </c>
      <c r="Q198" s="38" t="b">
        <v>0</v>
      </c>
      <c r="R198" s="38" t="b">
        <v>0</v>
      </c>
      <c r="S198" s="38" t="b">
        <v>0</v>
      </c>
      <c r="T198" s="38" t="b">
        <v>0</v>
      </c>
      <c r="U198" s="38" t="b">
        <v>0</v>
      </c>
      <c r="V198" s="38" t="b">
        <v>0</v>
      </c>
      <c r="W198" s="38" t="b">
        <v>0</v>
      </c>
      <c r="X198" s="38" t="b">
        <v>0</v>
      </c>
      <c r="Y198" s="38" t="b">
        <v>0</v>
      </c>
      <c r="Z198" s="38" t="b">
        <v>0</v>
      </c>
      <c r="AA198" s="38" t="b">
        <v>0</v>
      </c>
      <c r="AB198" s="38" t="b">
        <v>0</v>
      </c>
      <c r="AC198" s="38" t="b">
        <v>0</v>
      </c>
      <c r="AD198" s="38" t="b">
        <v>0</v>
      </c>
      <c r="AE198" s="38" t="b">
        <v>0</v>
      </c>
      <c r="AF198" s="38" t="b">
        <v>0</v>
      </c>
      <c r="AG198" s="38" t="b">
        <v>0</v>
      </c>
      <c r="AH198" s="38" t="b">
        <v>0</v>
      </c>
      <c r="AI198" s="38" t="b">
        <v>0</v>
      </c>
      <c r="AJ198" s="38" t="b">
        <v>0</v>
      </c>
      <c r="AK198" s="38" t="b">
        <v>0</v>
      </c>
      <c r="AL198" s="38" t="b">
        <v>0</v>
      </c>
      <c r="AM198" s="38" t="b">
        <v>0</v>
      </c>
      <c r="AN198" s="38"/>
      <c r="AO198" s="25">
        <f t="shared" si="109"/>
        <v>0</v>
      </c>
      <c r="AQ198" s="25">
        <f>IFERROR(__xludf.DUMMYFUNCTION("if(iserror(match(true,J198:AN198,0)),0,len(index(split(substitute(substitute(join("","",J198:AN198)&amp;"","",""TRUE,"",""x""),""FALSE,"","",""),"",""),,counta(split(substitute(substitute(join("","",J198:AN198)&amp;"","",""TRUE,"",""x""),""FALSE,"","",""),"",""))"&amp;")))"),0.0)</f>
        <v>0</v>
      </c>
      <c r="AR198" s="25" t="str">
        <f>IFERROR(__xludf.DUMMYFUNCTION("arrayformula( if( sum(J198:AN198 + 0), max( len( split( concatenate( left(J198:AN198) ), ""F"" ) ) ), ""0"" ) )"),"0")</f>
        <v>0</v>
      </c>
      <c r="AS198" s="26">
        <v>15.0</v>
      </c>
      <c r="AT198" s="27">
        <f t="shared" si="110"/>
        <v>0</v>
      </c>
    </row>
    <row r="199" hidden="1">
      <c r="A199" s="39"/>
      <c r="B199" s="40"/>
      <c r="C199" s="40"/>
      <c r="D199" s="40"/>
      <c r="E199" s="40"/>
      <c r="F199" s="40"/>
      <c r="G199" s="40"/>
      <c r="H199" s="41"/>
      <c r="I199" s="6"/>
      <c r="J199" s="38" t="b">
        <v>0</v>
      </c>
      <c r="K199" s="38" t="b">
        <v>0</v>
      </c>
      <c r="L199" s="38" t="b">
        <v>0</v>
      </c>
      <c r="M199" s="38" t="b">
        <v>0</v>
      </c>
      <c r="N199" s="38" t="b">
        <v>0</v>
      </c>
      <c r="O199" s="38" t="b">
        <v>0</v>
      </c>
      <c r="P199" s="38" t="b">
        <v>0</v>
      </c>
      <c r="Q199" s="38" t="b">
        <v>0</v>
      </c>
      <c r="R199" s="38" t="b">
        <v>0</v>
      </c>
      <c r="S199" s="38" t="b">
        <v>0</v>
      </c>
      <c r="T199" s="38" t="b">
        <v>0</v>
      </c>
      <c r="U199" s="38" t="b">
        <v>0</v>
      </c>
      <c r="V199" s="38" t="b">
        <v>0</v>
      </c>
      <c r="W199" s="38" t="b">
        <v>0</v>
      </c>
      <c r="X199" s="38" t="b">
        <v>0</v>
      </c>
      <c r="Y199" s="38" t="b">
        <v>0</v>
      </c>
      <c r="Z199" s="38" t="b">
        <v>0</v>
      </c>
      <c r="AA199" s="38" t="b">
        <v>0</v>
      </c>
      <c r="AB199" s="38" t="b">
        <v>0</v>
      </c>
      <c r="AC199" s="38" t="b">
        <v>0</v>
      </c>
      <c r="AD199" s="38" t="b">
        <v>0</v>
      </c>
      <c r="AE199" s="38" t="b">
        <v>0</v>
      </c>
      <c r="AF199" s="38" t="b">
        <v>0</v>
      </c>
      <c r="AG199" s="38" t="b">
        <v>0</v>
      </c>
      <c r="AH199" s="38" t="b">
        <v>0</v>
      </c>
      <c r="AI199" s="38" t="b">
        <v>0</v>
      </c>
      <c r="AJ199" s="38" t="b">
        <v>0</v>
      </c>
      <c r="AK199" s="38" t="b">
        <v>0</v>
      </c>
      <c r="AL199" s="38" t="b">
        <v>0</v>
      </c>
      <c r="AM199" s="38" t="b">
        <v>0</v>
      </c>
      <c r="AN199" s="38"/>
      <c r="AO199" s="25">
        <f t="shared" si="109"/>
        <v>0</v>
      </c>
      <c r="AQ199" s="25">
        <f>IFERROR(__xludf.DUMMYFUNCTION("if(iserror(match(true,J199:AN199,0)),0,len(index(split(substitute(substitute(join("","",J199:AN199)&amp;"","",""TRUE,"",""x""),""FALSE,"","",""),"",""),,counta(split(substitute(substitute(join("","",J199:AN199)&amp;"","",""TRUE,"",""x""),""FALSE,"","",""),"",""))"&amp;")))"),0.0)</f>
        <v>0</v>
      </c>
      <c r="AR199" s="25" t="str">
        <f>IFERROR(__xludf.DUMMYFUNCTION("arrayformula( if( sum(J199:AN199 + 0), max( len( split( concatenate( left(J199:AN199) ), ""F"" ) ) ), ""0"" ) )"),"0")</f>
        <v>0</v>
      </c>
      <c r="AS199" s="26">
        <v>15.0</v>
      </c>
      <c r="AT199" s="27">
        <f t="shared" si="110"/>
        <v>0</v>
      </c>
    </row>
    <row r="200" hidden="1">
      <c r="A200" s="39"/>
      <c r="B200" s="40"/>
      <c r="C200" s="40"/>
      <c r="D200" s="40"/>
      <c r="E200" s="40"/>
      <c r="F200" s="40"/>
      <c r="G200" s="40"/>
      <c r="H200" s="41"/>
      <c r="I200" s="6"/>
      <c r="J200" s="38" t="b">
        <v>0</v>
      </c>
      <c r="K200" s="38" t="b">
        <v>0</v>
      </c>
      <c r="L200" s="38" t="b">
        <v>0</v>
      </c>
      <c r="M200" s="38" t="b">
        <v>0</v>
      </c>
      <c r="N200" s="38" t="b">
        <v>0</v>
      </c>
      <c r="O200" s="38" t="b">
        <v>0</v>
      </c>
      <c r="P200" s="38" t="b">
        <v>0</v>
      </c>
      <c r="Q200" s="38" t="b">
        <v>0</v>
      </c>
      <c r="R200" s="38" t="b">
        <v>0</v>
      </c>
      <c r="S200" s="38" t="b">
        <v>0</v>
      </c>
      <c r="T200" s="38" t="b">
        <v>0</v>
      </c>
      <c r="U200" s="38" t="b">
        <v>0</v>
      </c>
      <c r="V200" s="38" t="b">
        <v>0</v>
      </c>
      <c r="W200" s="38" t="b">
        <v>0</v>
      </c>
      <c r="X200" s="38" t="b">
        <v>0</v>
      </c>
      <c r="Y200" s="38" t="b">
        <v>0</v>
      </c>
      <c r="Z200" s="38" t="b">
        <v>0</v>
      </c>
      <c r="AA200" s="38" t="b">
        <v>0</v>
      </c>
      <c r="AB200" s="38" t="b">
        <v>0</v>
      </c>
      <c r="AC200" s="38" t="b">
        <v>0</v>
      </c>
      <c r="AD200" s="38" t="b">
        <v>0</v>
      </c>
      <c r="AE200" s="38" t="b">
        <v>0</v>
      </c>
      <c r="AF200" s="38" t="b">
        <v>0</v>
      </c>
      <c r="AG200" s="38" t="b">
        <v>0</v>
      </c>
      <c r="AH200" s="38" t="b">
        <v>0</v>
      </c>
      <c r="AI200" s="38" t="b">
        <v>0</v>
      </c>
      <c r="AJ200" s="38" t="b">
        <v>0</v>
      </c>
      <c r="AK200" s="38" t="b">
        <v>0</v>
      </c>
      <c r="AL200" s="38" t="b">
        <v>0</v>
      </c>
      <c r="AM200" s="38" t="b">
        <v>0</v>
      </c>
      <c r="AN200" s="38"/>
      <c r="AO200" s="25">
        <f t="shared" si="109"/>
        <v>0</v>
      </c>
      <c r="AQ200" s="25">
        <f>IFERROR(__xludf.DUMMYFUNCTION("if(iserror(match(true,J200:AN200,0)),0,len(index(split(substitute(substitute(join("","",J200:AN200)&amp;"","",""TRUE,"",""x""),""FALSE,"","",""),"",""),,counta(split(substitute(substitute(join("","",J200:AN200)&amp;"","",""TRUE,"",""x""),""FALSE,"","",""),"",""))"&amp;")))"),0.0)</f>
        <v>0</v>
      </c>
      <c r="AR200" s="25" t="str">
        <f>IFERROR(__xludf.DUMMYFUNCTION("arrayformula( if( sum(J200:AN200 + 0), max( len( split( concatenate( left(J200:AN200) ), ""F"" ) ) ), ""0"" ) )"),"0")</f>
        <v>0</v>
      </c>
      <c r="AS200" s="26">
        <v>15.0</v>
      </c>
      <c r="AT200" s="27">
        <f t="shared" si="110"/>
        <v>0</v>
      </c>
    </row>
    <row r="201" hidden="1">
      <c r="A201" s="39"/>
      <c r="B201" s="40"/>
      <c r="C201" s="40"/>
      <c r="D201" s="40"/>
      <c r="E201" s="40"/>
      <c r="F201" s="40"/>
      <c r="G201" s="40"/>
      <c r="H201" s="41"/>
      <c r="I201" s="6"/>
      <c r="J201" s="38" t="b">
        <v>0</v>
      </c>
      <c r="K201" s="38" t="b">
        <v>0</v>
      </c>
      <c r="L201" s="38" t="b">
        <v>0</v>
      </c>
      <c r="M201" s="38" t="b">
        <v>0</v>
      </c>
      <c r="N201" s="38" t="b">
        <v>0</v>
      </c>
      <c r="O201" s="38" t="b">
        <v>0</v>
      </c>
      <c r="P201" s="38" t="b">
        <v>0</v>
      </c>
      <c r="Q201" s="38" t="b">
        <v>0</v>
      </c>
      <c r="R201" s="38" t="b">
        <v>0</v>
      </c>
      <c r="S201" s="38" t="b">
        <v>0</v>
      </c>
      <c r="T201" s="38" t="b">
        <v>0</v>
      </c>
      <c r="U201" s="38" t="b">
        <v>0</v>
      </c>
      <c r="V201" s="38" t="b">
        <v>0</v>
      </c>
      <c r="W201" s="38" t="b">
        <v>0</v>
      </c>
      <c r="X201" s="38" t="b">
        <v>0</v>
      </c>
      <c r="Y201" s="38" t="b">
        <v>0</v>
      </c>
      <c r="Z201" s="38" t="b">
        <v>0</v>
      </c>
      <c r="AA201" s="38" t="b">
        <v>0</v>
      </c>
      <c r="AB201" s="38" t="b">
        <v>0</v>
      </c>
      <c r="AC201" s="38" t="b">
        <v>0</v>
      </c>
      <c r="AD201" s="38" t="b">
        <v>0</v>
      </c>
      <c r="AE201" s="38" t="b">
        <v>0</v>
      </c>
      <c r="AF201" s="38" t="b">
        <v>0</v>
      </c>
      <c r="AG201" s="38" t="b">
        <v>0</v>
      </c>
      <c r="AH201" s="38" t="b">
        <v>0</v>
      </c>
      <c r="AI201" s="38" t="b">
        <v>0</v>
      </c>
      <c r="AJ201" s="38" t="b">
        <v>0</v>
      </c>
      <c r="AK201" s="38" t="b">
        <v>0</v>
      </c>
      <c r="AL201" s="38" t="b">
        <v>0</v>
      </c>
      <c r="AM201" s="38" t="b">
        <v>0</v>
      </c>
      <c r="AN201" s="38"/>
      <c r="AO201" s="25">
        <f t="shared" si="109"/>
        <v>0</v>
      </c>
      <c r="AQ201" s="25">
        <f>IFERROR(__xludf.DUMMYFUNCTION("if(iserror(match(true,J201:AN201,0)),0,len(index(split(substitute(substitute(join("","",J201:AN201)&amp;"","",""TRUE,"",""x""),""FALSE,"","",""),"",""),,counta(split(substitute(substitute(join("","",J201:AN201)&amp;"","",""TRUE,"",""x""),""FALSE,"","",""),"",""))"&amp;")))"),0.0)</f>
        <v>0</v>
      </c>
      <c r="AR201" s="25" t="str">
        <f>IFERROR(__xludf.DUMMYFUNCTION("arrayformula( if( sum(J201:AN201 + 0), max( len( split( concatenate( left(J201:AN201) ), ""F"" ) ) ), ""0"" ) )"),"0")</f>
        <v>0</v>
      </c>
      <c r="AS201" s="26">
        <v>15.0</v>
      </c>
      <c r="AT201" s="27">
        <f t="shared" si="110"/>
        <v>0</v>
      </c>
    </row>
    <row r="202" hidden="1">
      <c r="A202" s="39"/>
      <c r="B202" s="40"/>
      <c r="C202" s="40"/>
      <c r="D202" s="40"/>
      <c r="E202" s="40"/>
      <c r="F202" s="40"/>
      <c r="G202" s="40"/>
      <c r="H202" s="41"/>
      <c r="I202" s="6"/>
      <c r="J202" s="38" t="b">
        <v>0</v>
      </c>
      <c r="K202" s="38" t="b">
        <v>0</v>
      </c>
      <c r="L202" s="38" t="b">
        <v>0</v>
      </c>
      <c r="M202" s="38" t="b">
        <v>0</v>
      </c>
      <c r="N202" s="38" t="b">
        <v>0</v>
      </c>
      <c r="O202" s="38" t="b">
        <v>0</v>
      </c>
      <c r="P202" s="38" t="b">
        <v>0</v>
      </c>
      <c r="Q202" s="38" t="b">
        <v>0</v>
      </c>
      <c r="R202" s="38" t="b">
        <v>0</v>
      </c>
      <c r="S202" s="38" t="b">
        <v>0</v>
      </c>
      <c r="T202" s="38" t="b">
        <v>0</v>
      </c>
      <c r="U202" s="38" t="b">
        <v>0</v>
      </c>
      <c r="V202" s="38" t="b">
        <v>0</v>
      </c>
      <c r="W202" s="38" t="b">
        <v>0</v>
      </c>
      <c r="X202" s="38" t="b">
        <v>0</v>
      </c>
      <c r="Y202" s="38" t="b">
        <v>0</v>
      </c>
      <c r="Z202" s="38" t="b">
        <v>0</v>
      </c>
      <c r="AA202" s="38" t="b">
        <v>0</v>
      </c>
      <c r="AB202" s="38" t="b">
        <v>0</v>
      </c>
      <c r="AC202" s="38" t="b">
        <v>0</v>
      </c>
      <c r="AD202" s="38" t="b">
        <v>0</v>
      </c>
      <c r="AE202" s="38" t="b">
        <v>0</v>
      </c>
      <c r="AF202" s="38" t="b">
        <v>0</v>
      </c>
      <c r="AG202" s="38" t="b">
        <v>0</v>
      </c>
      <c r="AH202" s="38" t="b">
        <v>0</v>
      </c>
      <c r="AI202" s="38" t="b">
        <v>0</v>
      </c>
      <c r="AJ202" s="38" t="b">
        <v>0</v>
      </c>
      <c r="AK202" s="38" t="b">
        <v>0</v>
      </c>
      <c r="AL202" s="38" t="b">
        <v>0</v>
      </c>
      <c r="AM202" s="38" t="b">
        <v>0</v>
      </c>
      <c r="AN202" s="38"/>
      <c r="AO202" s="25">
        <f t="shared" si="109"/>
        <v>0</v>
      </c>
      <c r="AQ202" s="25">
        <f>IFERROR(__xludf.DUMMYFUNCTION("if(iserror(match(true,J202:AN202,0)),0,len(index(split(substitute(substitute(join("","",J202:AN202)&amp;"","",""TRUE,"",""x""),""FALSE,"","",""),"",""),,counta(split(substitute(substitute(join("","",J202:AN202)&amp;"","",""TRUE,"",""x""),""FALSE,"","",""),"",""))"&amp;")))"),0.0)</f>
        <v>0</v>
      </c>
      <c r="AR202" s="25" t="str">
        <f>IFERROR(__xludf.DUMMYFUNCTION("arrayformula( if( sum(J202:AN202 + 0), max( len( split( concatenate( left(J202:AN202) ), ""F"" ) ) ), ""0"" ) )"),"0")</f>
        <v>0</v>
      </c>
      <c r="AS202" s="26">
        <v>15.0</v>
      </c>
      <c r="AT202" s="27">
        <f t="shared" si="110"/>
        <v>0</v>
      </c>
    </row>
    <row r="203" hidden="1">
      <c r="A203" s="39"/>
      <c r="B203" s="40"/>
      <c r="C203" s="40"/>
      <c r="D203" s="40"/>
      <c r="E203" s="40"/>
      <c r="F203" s="40"/>
      <c r="G203" s="40"/>
      <c r="H203" s="41"/>
      <c r="I203" s="6"/>
      <c r="J203" s="38" t="b">
        <v>0</v>
      </c>
      <c r="K203" s="38" t="b">
        <v>0</v>
      </c>
      <c r="L203" s="38" t="b">
        <v>0</v>
      </c>
      <c r="M203" s="38" t="b">
        <v>0</v>
      </c>
      <c r="N203" s="38" t="b">
        <v>0</v>
      </c>
      <c r="O203" s="38" t="b">
        <v>0</v>
      </c>
      <c r="P203" s="38" t="b">
        <v>0</v>
      </c>
      <c r="Q203" s="38" t="b">
        <v>0</v>
      </c>
      <c r="R203" s="38" t="b">
        <v>0</v>
      </c>
      <c r="S203" s="38" t="b">
        <v>0</v>
      </c>
      <c r="T203" s="38" t="b">
        <v>0</v>
      </c>
      <c r="U203" s="38" t="b">
        <v>0</v>
      </c>
      <c r="V203" s="38" t="b">
        <v>0</v>
      </c>
      <c r="W203" s="38" t="b">
        <v>0</v>
      </c>
      <c r="X203" s="38" t="b">
        <v>0</v>
      </c>
      <c r="Y203" s="38" t="b">
        <v>0</v>
      </c>
      <c r="Z203" s="38" t="b">
        <v>0</v>
      </c>
      <c r="AA203" s="38" t="b">
        <v>0</v>
      </c>
      <c r="AB203" s="38" t="b">
        <v>0</v>
      </c>
      <c r="AC203" s="38" t="b">
        <v>0</v>
      </c>
      <c r="AD203" s="38" t="b">
        <v>0</v>
      </c>
      <c r="AE203" s="38" t="b">
        <v>0</v>
      </c>
      <c r="AF203" s="38" t="b">
        <v>0</v>
      </c>
      <c r="AG203" s="38" t="b">
        <v>0</v>
      </c>
      <c r="AH203" s="38" t="b">
        <v>0</v>
      </c>
      <c r="AI203" s="38" t="b">
        <v>0</v>
      </c>
      <c r="AJ203" s="38" t="b">
        <v>0</v>
      </c>
      <c r="AK203" s="38" t="b">
        <v>0</v>
      </c>
      <c r="AL203" s="38" t="b">
        <v>0</v>
      </c>
      <c r="AM203" s="38" t="b">
        <v>0</v>
      </c>
      <c r="AN203" s="38"/>
      <c r="AO203" s="25">
        <f t="shared" si="109"/>
        <v>0</v>
      </c>
      <c r="AQ203" s="25">
        <f>IFERROR(__xludf.DUMMYFUNCTION("if(iserror(match(true,J203:AN203,0)),0,len(index(split(substitute(substitute(join("","",J203:AN203)&amp;"","",""TRUE,"",""x""),""FALSE,"","",""),"",""),,counta(split(substitute(substitute(join("","",J203:AN203)&amp;"","",""TRUE,"",""x""),""FALSE,"","",""),"",""))"&amp;")))"),0.0)</f>
        <v>0</v>
      </c>
      <c r="AR203" s="25" t="str">
        <f>IFERROR(__xludf.DUMMYFUNCTION("arrayformula( if( sum(J203:AN203 + 0), max( len( split( concatenate( left(J203:AN203) ), ""F"" ) ) ), ""0"" ) )"),"0")</f>
        <v>0</v>
      </c>
      <c r="AS203" s="26">
        <v>15.0</v>
      </c>
      <c r="AT203" s="27">
        <f t="shared" si="110"/>
        <v>0</v>
      </c>
    </row>
    <row r="204" hidden="1">
      <c r="A204" s="39"/>
      <c r="B204" s="40"/>
      <c r="C204" s="40"/>
      <c r="D204" s="40"/>
      <c r="E204" s="40"/>
      <c r="F204" s="40"/>
      <c r="G204" s="40"/>
      <c r="H204" s="41"/>
      <c r="I204" s="6"/>
      <c r="J204" s="38" t="b">
        <v>0</v>
      </c>
      <c r="K204" s="38" t="b">
        <v>0</v>
      </c>
      <c r="L204" s="38" t="b">
        <v>0</v>
      </c>
      <c r="M204" s="38" t="b">
        <v>0</v>
      </c>
      <c r="N204" s="38" t="b">
        <v>0</v>
      </c>
      <c r="O204" s="38" t="b">
        <v>0</v>
      </c>
      <c r="P204" s="38" t="b">
        <v>0</v>
      </c>
      <c r="Q204" s="38" t="b">
        <v>0</v>
      </c>
      <c r="R204" s="38" t="b">
        <v>0</v>
      </c>
      <c r="S204" s="38" t="b">
        <v>0</v>
      </c>
      <c r="T204" s="38" t="b">
        <v>0</v>
      </c>
      <c r="U204" s="38" t="b">
        <v>0</v>
      </c>
      <c r="V204" s="38" t="b">
        <v>0</v>
      </c>
      <c r="W204" s="38" t="b">
        <v>0</v>
      </c>
      <c r="X204" s="38" t="b">
        <v>0</v>
      </c>
      <c r="Y204" s="38" t="b">
        <v>0</v>
      </c>
      <c r="Z204" s="38" t="b">
        <v>0</v>
      </c>
      <c r="AA204" s="38" t="b">
        <v>0</v>
      </c>
      <c r="AB204" s="38" t="b">
        <v>0</v>
      </c>
      <c r="AC204" s="38" t="b">
        <v>0</v>
      </c>
      <c r="AD204" s="38" t="b">
        <v>0</v>
      </c>
      <c r="AE204" s="38" t="b">
        <v>0</v>
      </c>
      <c r="AF204" s="38" t="b">
        <v>0</v>
      </c>
      <c r="AG204" s="38" t="b">
        <v>0</v>
      </c>
      <c r="AH204" s="38" t="b">
        <v>0</v>
      </c>
      <c r="AI204" s="38" t="b">
        <v>0</v>
      </c>
      <c r="AJ204" s="38" t="b">
        <v>0</v>
      </c>
      <c r="AK204" s="38" t="b">
        <v>0</v>
      </c>
      <c r="AL204" s="38" t="b">
        <v>0</v>
      </c>
      <c r="AM204" s="38" t="b">
        <v>0</v>
      </c>
      <c r="AN204" s="38"/>
      <c r="AO204" s="25">
        <f t="shared" si="109"/>
        <v>0</v>
      </c>
      <c r="AQ204" s="25">
        <f>IFERROR(__xludf.DUMMYFUNCTION("if(iserror(match(true,J204:AN204,0)),0,len(index(split(substitute(substitute(join("","",J204:AN204)&amp;"","",""TRUE,"",""x""),""FALSE,"","",""),"",""),,counta(split(substitute(substitute(join("","",J204:AN204)&amp;"","",""TRUE,"",""x""),""FALSE,"","",""),"",""))"&amp;")))"),0.0)</f>
        <v>0</v>
      </c>
      <c r="AR204" s="25" t="str">
        <f>IFERROR(__xludf.DUMMYFUNCTION("arrayformula( if( sum(J204:AN204 + 0), max( len( split( concatenate( left(J204:AN204) ), ""F"" ) ) ), ""0"" ) )"),"0")</f>
        <v>0</v>
      </c>
      <c r="AS204" s="26">
        <v>15.0</v>
      </c>
      <c r="AT204" s="27">
        <f t="shared" si="110"/>
        <v>0</v>
      </c>
    </row>
    <row r="205" hidden="1">
      <c r="A205" s="39"/>
      <c r="B205" s="40"/>
      <c r="C205" s="40"/>
      <c r="D205" s="40"/>
      <c r="E205" s="40"/>
      <c r="F205" s="40"/>
      <c r="G205" s="40"/>
      <c r="H205" s="41"/>
      <c r="I205" s="6"/>
      <c r="J205" s="38" t="b">
        <v>0</v>
      </c>
      <c r="K205" s="38" t="b">
        <v>0</v>
      </c>
      <c r="L205" s="38" t="b">
        <v>0</v>
      </c>
      <c r="M205" s="38" t="b">
        <v>0</v>
      </c>
      <c r="N205" s="38" t="b">
        <v>0</v>
      </c>
      <c r="O205" s="38" t="b">
        <v>0</v>
      </c>
      <c r="P205" s="38" t="b">
        <v>0</v>
      </c>
      <c r="Q205" s="38" t="b">
        <v>0</v>
      </c>
      <c r="R205" s="38" t="b">
        <v>0</v>
      </c>
      <c r="S205" s="38" t="b">
        <v>0</v>
      </c>
      <c r="T205" s="38" t="b">
        <v>0</v>
      </c>
      <c r="U205" s="38" t="b">
        <v>0</v>
      </c>
      <c r="V205" s="38" t="b">
        <v>0</v>
      </c>
      <c r="W205" s="38" t="b">
        <v>0</v>
      </c>
      <c r="X205" s="38" t="b">
        <v>0</v>
      </c>
      <c r="Y205" s="38" t="b">
        <v>0</v>
      </c>
      <c r="Z205" s="38" t="b">
        <v>0</v>
      </c>
      <c r="AA205" s="38" t="b">
        <v>0</v>
      </c>
      <c r="AB205" s="38" t="b">
        <v>0</v>
      </c>
      <c r="AC205" s="38" t="b">
        <v>0</v>
      </c>
      <c r="AD205" s="38" t="b">
        <v>0</v>
      </c>
      <c r="AE205" s="38" t="b">
        <v>0</v>
      </c>
      <c r="AF205" s="38" t="b">
        <v>0</v>
      </c>
      <c r="AG205" s="38" t="b">
        <v>0</v>
      </c>
      <c r="AH205" s="38" t="b">
        <v>0</v>
      </c>
      <c r="AI205" s="38" t="b">
        <v>0</v>
      </c>
      <c r="AJ205" s="38" t="b">
        <v>0</v>
      </c>
      <c r="AK205" s="38" t="b">
        <v>0</v>
      </c>
      <c r="AL205" s="38" t="b">
        <v>0</v>
      </c>
      <c r="AM205" s="38" t="b">
        <v>0</v>
      </c>
      <c r="AN205" s="38"/>
      <c r="AO205" s="25">
        <f t="shared" si="109"/>
        <v>0</v>
      </c>
      <c r="AQ205" s="25">
        <f>IFERROR(__xludf.DUMMYFUNCTION("if(iserror(match(true,J205:AN205,0)),0,len(index(split(substitute(substitute(join("","",J205:AN205)&amp;"","",""TRUE,"",""x""),""FALSE,"","",""),"",""),,counta(split(substitute(substitute(join("","",J205:AN205)&amp;"","",""TRUE,"",""x""),""FALSE,"","",""),"",""))"&amp;")))"),0.0)</f>
        <v>0</v>
      </c>
      <c r="AR205" s="25" t="str">
        <f>IFERROR(__xludf.DUMMYFUNCTION("arrayformula( if( sum(J205:AN205 + 0), max( len( split( concatenate( left(J205:AN205) ), ""F"" ) ) ), ""0"" ) )"),"0")</f>
        <v>0</v>
      </c>
      <c r="AS205" s="26">
        <v>15.0</v>
      </c>
      <c r="AT205" s="27">
        <f t="shared" si="110"/>
        <v>0</v>
      </c>
    </row>
    <row r="206" hidden="1">
      <c r="A206" s="39"/>
      <c r="B206" s="40"/>
      <c r="C206" s="40"/>
      <c r="D206" s="40"/>
      <c r="E206" s="40"/>
      <c r="F206" s="40"/>
      <c r="G206" s="40"/>
      <c r="H206" s="41"/>
      <c r="I206" s="6"/>
      <c r="J206" s="38" t="b">
        <v>0</v>
      </c>
      <c r="K206" s="38" t="b">
        <v>0</v>
      </c>
      <c r="L206" s="38" t="b">
        <v>0</v>
      </c>
      <c r="M206" s="38" t="b">
        <v>0</v>
      </c>
      <c r="N206" s="38" t="b">
        <v>0</v>
      </c>
      <c r="O206" s="38" t="b">
        <v>0</v>
      </c>
      <c r="P206" s="38" t="b">
        <v>0</v>
      </c>
      <c r="Q206" s="38" t="b">
        <v>0</v>
      </c>
      <c r="R206" s="38" t="b">
        <v>0</v>
      </c>
      <c r="S206" s="38" t="b">
        <v>0</v>
      </c>
      <c r="T206" s="38" t="b">
        <v>0</v>
      </c>
      <c r="U206" s="38" t="b">
        <v>0</v>
      </c>
      <c r="V206" s="38" t="b">
        <v>0</v>
      </c>
      <c r="W206" s="38" t="b">
        <v>0</v>
      </c>
      <c r="X206" s="38" t="b">
        <v>0</v>
      </c>
      <c r="Y206" s="38" t="b">
        <v>0</v>
      </c>
      <c r="Z206" s="38" t="b">
        <v>0</v>
      </c>
      <c r="AA206" s="38" t="b">
        <v>0</v>
      </c>
      <c r="AB206" s="38" t="b">
        <v>0</v>
      </c>
      <c r="AC206" s="38" t="b">
        <v>0</v>
      </c>
      <c r="AD206" s="38" t="b">
        <v>0</v>
      </c>
      <c r="AE206" s="38" t="b">
        <v>0</v>
      </c>
      <c r="AF206" s="38" t="b">
        <v>0</v>
      </c>
      <c r="AG206" s="38" t="b">
        <v>0</v>
      </c>
      <c r="AH206" s="38" t="b">
        <v>0</v>
      </c>
      <c r="AI206" s="38" t="b">
        <v>0</v>
      </c>
      <c r="AJ206" s="38" t="b">
        <v>0</v>
      </c>
      <c r="AK206" s="38" t="b">
        <v>0</v>
      </c>
      <c r="AL206" s="38" t="b">
        <v>0</v>
      </c>
      <c r="AM206" s="38" t="b">
        <v>0</v>
      </c>
      <c r="AN206" s="38"/>
      <c r="AO206" s="25">
        <f t="shared" si="109"/>
        <v>0</v>
      </c>
      <c r="AQ206" s="25">
        <f>IFERROR(__xludf.DUMMYFUNCTION("if(iserror(match(true,J206:AN206,0)),0,len(index(split(substitute(substitute(join("","",J206:AN206)&amp;"","",""TRUE,"",""x""),""FALSE,"","",""),"",""),,counta(split(substitute(substitute(join("","",J206:AN206)&amp;"","",""TRUE,"",""x""),""FALSE,"","",""),"",""))"&amp;")))"),0.0)</f>
        <v>0</v>
      </c>
      <c r="AR206" s="25" t="str">
        <f>IFERROR(__xludf.DUMMYFUNCTION("arrayformula( if( sum(J206:AN206 + 0), max( len( split( concatenate( left(J206:AN206) ), ""F"" ) ) ), ""0"" ) )"),"0")</f>
        <v>0</v>
      </c>
      <c r="AS206" s="26">
        <v>15.0</v>
      </c>
      <c r="AT206" s="27">
        <f t="shared" si="110"/>
        <v>0</v>
      </c>
    </row>
    <row r="207">
      <c r="A207" s="38"/>
      <c r="B207" s="45"/>
      <c r="C207" s="45"/>
      <c r="D207" s="45"/>
      <c r="E207" s="45"/>
      <c r="F207" s="45"/>
      <c r="G207" s="45"/>
      <c r="H207" s="45"/>
      <c r="I207" s="45"/>
      <c r="J207" s="24" t="str">
        <f t="array" ref="J207">IF(COUNTIF(J187:J206, "TRUE") = 1, Setup!$E$4, 
IF(COUNTIF(J187:J206, "TRUE") = 0, Setup!$E$3,
IF(COUNTIF(J187:J206, "TRUE") = 2, Setup!$E$5, 
IF(COUNTIF(J187:J206, "TRUE") = 3, Setup!$E$6, 
IF(COUNTIF(J187:J206, "TRUE") = 4, Setup!$E$7, 
IF(COUNTIF(J187:J206, "TRUE") = 5, Setup!$E$8, 
IF(COUNTIF(J187:J206, "TRUE") &gt;= 6, Setup!$E$9)))
))))</f>
        <v/>
      </c>
      <c r="K207" s="24" t="str">
        <f t="array" ref="K207">IF(COUNTIF(K187:K206, "TRUE") = 1, Setup!$E$4, 
IF(COUNTIF(K187:K206, "TRUE") = 0, Setup!$E$3,
IF(COUNTIF(K187:K206, "TRUE") = 2, Setup!$E$5, 
IF(COUNTIF(K187:K206, "TRUE") = 3, Setup!$E$6, 
IF(COUNTIF(K187:K206, "TRUE") = 4, Setup!$E$7, 
IF(COUNTIF(K187:K206, "TRUE") = 5, Setup!$E$8, 
IF(COUNTIF(K187:K206, "TRUE") &gt;= 6, Setup!$E$9)))
))))</f>
        <v/>
      </c>
      <c r="L207" s="24" t="str">
        <f t="array" ref="L207">IF(COUNTIF(L187:L206, "TRUE") = 1, Setup!$E$4, 
IF(COUNTIF(L187:L206, "TRUE") = 0, Setup!$E$3,
IF(COUNTIF(L187:L206, "TRUE") = 2, Setup!$E$5, 
IF(COUNTIF(L187:L206, "TRUE") = 3, Setup!$E$6, 
IF(COUNTIF(L187:L206, "TRUE") = 4, Setup!$E$7, 
IF(COUNTIF(L187:L206, "TRUE") = 5, Setup!$E$8, 
IF(COUNTIF(L187:L206, "TRUE") &gt;= 6, Setup!$E$9)))
))))</f>
        <v/>
      </c>
      <c r="M207" s="24" t="str">
        <f t="array" ref="M207">IF(COUNTIF(M187:M206, "TRUE") = 1, Setup!$E$4, 
IF(COUNTIF(M187:M206, "TRUE") = 0, Setup!$E$3,
IF(COUNTIF(M187:M206, "TRUE") = 2, Setup!$E$5, 
IF(COUNTIF(M187:M206, "TRUE") = 3, Setup!$E$6, 
IF(COUNTIF(M187:M206, "TRUE") = 4, Setup!$E$7, 
IF(COUNTIF(M187:M206, "TRUE") = 5, Setup!$E$8, 
IF(COUNTIF(M187:M206, "TRUE") &gt;= 6, Setup!$E$9)))
))))</f>
        <v/>
      </c>
      <c r="N207" s="24" t="str">
        <f t="array" ref="N207">IF(COUNTIF(N187:N206, "TRUE") = 1, Setup!$E$4, 
IF(COUNTIF(N187:N206, "TRUE") = 0, Setup!$E$3,
IF(COUNTIF(N187:N206, "TRUE") = 2, Setup!$E$5, 
IF(COUNTIF(N187:N206, "TRUE") = 3, Setup!$E$6, 
IF(COUNTIF(N187:N206, "TRUE") = 4, Setup!$E$7, 
IF(COUNTIF(N187:N206, "TRUE") = 5, Setup!$E$8, 
IF(COUNTIF(N187:N206, "TRUE") &gt;= 6, Setup!$E$9)))
))))</f>
        <v/>
      </c>
      <c r="O207" s="24" t="str">
        <f t="array" ref="O207">IF(COUNTIF(O187:O206, "TRUE") = 1, Setup!$E$4, 
IF(COUNTIF(O187:O206, "TRUE") = 0, Setup!$E$3,
IF(COUNTIF(O187:O206, "TRUE") = 2, Setup!$E$5, 
IF(COUNTIF(O187:O206, "TRUE") = 3, Setup!$E$6, 
IF(COUNTIF(O187:O206, "TRUE") = 4, Setup!$E$7, 
IF(COUNTIF(O187:O206, "TRUE") = 5, Setup!$E$8, 
IF(COUNTIF(O187:O206, "TRUE") &gt;= 6, Setup!$E$9)))
))))</f>
        <v/>
      </c>
      <c r="P207" s="24" t="str">
        <f t="array" ref="P207">IF(COUNTIF(P187:P206, "TRUE") = 1, Setup!$E$4, 
IF(COUNTIF(P187:P206, "TRUE") = 0, Setup!$E$3,
IF(COUNTIF(P187:P206, "TRUE") = 2, Setup!$E$5, 
IF(COUNTIF(P187:P206, "TRUE") = 3, Setup!$E$6, 
IF(COUNTIF(P187:P206, "TRUE") = 4, Setup!$E$7, 
IF(COUNTIF(P187:P206, "TRUE") = 5, Setup!$E$8, 
IF(COUNTIF(P187:P206, "TRUE") &gt;= 6, Setup!$E$9)))
))))</f>
        <v/>
      </c>
      <c r="Q207" s="24" t="str">
        <f t="array" ref="Q207">IF(COUNTIF(Q187:Q206, "TRUE") = 1, Setup!$E$4, 
IF(COUNTIF(Q187:Q206, "TRUE") = 0, Setup!$E$3,
IF(COUNTIF(Q187:Q206, "TRUE") = 2, Setup!$E$5, 
IF(COUNTIF(Q187:Q206, "TRUE") = 3, Setup!$E$6, 
IF(COUNTIF(Q187:Q206, "TRUE") = 4, Setup!$E$7, 
IF(COUNTIF(Q187:Q206, "TRUE") = 5, Setup!$E$8, 
IF(COUNTIF(Q187:Q206, "TRUE") &gt;= 6, Setup!$E$9)))
))))</f>
        <v/>
      </c>
      <c r="R207" s="24" t="str">
        <f t="array" ref="R207">IF(COUNTIF(R187:R206, "TRUE") = 1, Setup!$E$4, 
IF(COUNTIF(R187:R206, "TRUE") = 0, Setup!$E$3,
IF(COUNTIF(R187:R206, "TRUE") = 2, Setup!$E$5, 
IF(COUNTIF(R187:R206, "TRUE") = 3, Setup!$E$6, 
IF(COUNTIF(R187:R206, "TRUE") = 4, Setup!$E$7, 
IF(COUNTIF(R187:R206, "TRUE") = 5, Setup!$E$8, 
IF(COUNTIF(R187:R206, "TRUE") &gt;= 6, Setup!$E$9)))
))))</f>
        <v/>
      </c>
      <c r="S207" s="24" t="str">
        <f t="array" ref="S207">IF(COUNTIF(S187:S206, "TRUE") = 1, Setup!$E$4, 
IF(COUNTIF(S187:S206, "TRUE") = 0, Setup!$E$3,
IF(COUNTIF(S187:S206, "TRUE") = 2, Setup!$E$5, 
IF(COUNTIF(S187:S206, "TRUE") = 3, Setup!$E$6, 
IF(COUNTIF(S187:S206, "TRUE") = 4, Setup!$E$7, 
IF(COUNTIF(S187:S206, "TRUE") = 5, Setup!$E$8, 
IF(COUNTIF(S187:S206, "TRUE") &gt;= 6, Setup!$E$9)))
))))</f>
        <v/>
      </c>
      <c r="T207" s="24" t="str">
        <f t="array" ref="T207">IF(COUNTIF(T187:T206, "TRUE") = 1, Setup!$E$4, 
IF(COUNTIF(T187:T206, "TRUE") = 0, Setup!$E$3,
IF(COUNTIF(T187:T206, "TRUE") = 2, Setup!$E$5, 
IF(COUNTIF(T187:T206, "TRUE") = 3, Setup!$E$6, 
IF(COUNTIF(T187:T206, "TRUE") = 4, Setup!$E$7, 
IF(COUNTIF(T187:T206, "TRUE") = 5, Setup!$E$8, 
IF(COUNTIF(T187:T206, "TRUE") &gt;= 6, Setup!$E$9)))
))))</f>
        <v/>
      </c>
      <c r="U207" s="24" t="str">
        <f t="array" ref="U207">IF(COUNTIF(U187:U206, "TRUE") = 1, Setup!$E$4, 
IF(COUNTIF(U187:U206, "TRUE") = 0, Setup!$E$3,
IF(COUNTIF(U187:U206, "TRUE") = 2, Setup!$E$5, 
IF(COUNTIF(U187:U206, "TRUE") = 3, Setup!$E$6, 
IF(COUNTIF(U187:U206, "TRUE") = 4, Setup!$E$7, 
IF(COUNTIF(U187:U206, "TRUE") = 5, Setup!$E$8, 
IF(COUNTIF(U187:U206, "TRUE") &gt;= 6, Setup!$E$9)))
))))</f>
        <v/>
      </c>
      <c r="V207" s="24" t="str">
        <f t="array" ref="V207">IF(COUNTIF(V187:V206, "TRUE") = 1, Setup!$E$4, 
IF(COUNTIF(V187:V206, "TRUE") = 0, Setup!$E$3,
IF(COUNTIF(V187:V206, "TRUE") = 2, Setup!$E$5, 
IF(COUNTIF(V187:V206, "TRUE") = 3, Setup!$E$6, 
IF(COUNTIF(V187:V206, "TRUE") = 4, Setup!$E$7, 
IF(COUNTIF(V187:V206, "TRUE") = 5, Setup!$E$8, 
IF(COUNTIF(V187:V206, "TRUE") &gt;= 6, Setup!$E$9)))
))))</f>
        <v/>
      </c>
      <c r="W207" s="24" t="str">
        <f t="array" ref="W207">IF(COUNTIF(W187:W206, "TRUE") = 1, Setup!$E$4, 
IF(COUNTIF(W187:W206, "TRUE") = 0, Setup!$E$3,
IF(COUNTIF(W187:W206, "TRUE") = 2, Setup!$E$5, 
IF(COUNTIF(W187:W206, "TRUE") = 3, Setup!$E$6, 
IF(COUNTIF(W187:W206, "TRUE") = 4, Setup!$E$7, 
IF(COUNTIF(W187:W206, "TRUE") = 5, Setup!$E$8, 
IF(COUNTIF(W187:W206, "TRUE") &gt;= 6, Setup!$E$9)))
))))</f>
        <v/>
      </c>
      <c r="X207" s="24" t="str">
        <f t="array" ref="X207">IF(COUNTIF(X187:X206, "TRUE") = 1, Setup!$E$4, 
IF(COUNTIF(X187:X206, "TRUE") = 0, Setup!$E$3,
IF(COUNTIF(X187:X206, "TRUE") = 2, Setup!$E$5, 
IF(COUNTIF(X187:X206, "TRUE") = 3, Setup!$E$6, 
IF(COUNTIF(X187:X206, "TRUE") = 4, Setup!$E$7, 
IF(COUNTIF(X187:X206, "TRUE") = 5, Setup!$E$8, 
IF(COUNTIF(X187:X206, "TRUE") &gt;= 6, Setup!$E$9)))
))))</f>
        <v/>
      </c>
      <c r="Y207" s="24" t="str">
        <f t="array" ref="Y207">IF(COUNTIF(Y187:Y206, "TRUE") = 1, Setup!$E$4, 
IF(COUNTIF(Y187:Y206, "TRUE") = 0, Setup!$E$3,
IF(COUNTIF(Y187:Y206, "TRUE") = 2, Setup!$E$5, 
IF(COUNTIF(Y187:Y206, "TRUE") = 3, Setup!$E$6, 
IF(COUNTIF(Y187:Y206, "TRUE") = 4, Setup!$E$7, 
IF(COUNTIF(Y187:Y206, "TRUE") = 5, Setup!$E$8, 
IF(COUNTIF(Y187:Y206, "TRUE") &gt;= 6, Setup!$E$9)))
))))</f>
        <v/>
      </c>
      <c r="Z207" s="24" t="str">
        <f t="array" ref="Z207">IF(COUNTIF(Z187:Z206, "TRUE") = 1, Setup!$E$4, 
IF(COUNTIF(Z187:Z206, "TRUE") = 0, Setup!$E$3,
IF(COUNTIF(Z187:Z206, "TRUE") = 2, Setup!$E$5, 
IF(COUNTIF(Z187:Z206, "TRUE") = 3, Setup!$E$6, 
IF(COUNTIF(Z187:Z206, "TRUE") = 4, Setup!$E$7, 
IF(COUNTIF(Z187:Z206, "TRUE") = 5, Setup!$E$8, 
IF(COUNTIF(Z187:Z206, "TRUE") &gt;= 6, Setup!$E$9)))
))))</f>
        <v/>
      </c>
      <c r="AA207" s="24" t="str">
        <f t="array" ref="AA207">IF(COUNTIF(AA187:AA206, "TRUE") = 1, Setup!$E$4, 
IF(COUNTIF(AA187:AA206, "TRUE") = 0, Setup!$E$3,
IF(COUNTIF(AA187:AA206, "TRUE") = 2, Setup!$E$5, 
IF(COUNTIF(AA187:AA206, "TRUE") = 3, Setup!$E$6, 
IF(COUNTIF(AA187:AA206, "TRUE") = 4, Setup!$E$7, 
IF(COUNTIF(AA187:AA206, "TRUE") = 5, Setup!$E$8, 
IF(COUNTIF(AA187:AA206, "TRUE") &gt;= 6, Setup!$E$9)))
))))</f>
        <v/>
      </c>
      <c r="AB207" s="24" t="str">
        <f t="array" ref="AB207">IF(COUNTIF(AB187:AB206, "TRUE") = 1, Setup!$E$4, 
IF(COUNTIF(AB187:AB206, "TRUE") = 0, Setup!$E$3,
IF(COUNTIF(AB187:AB206, "TRUE") = 2, Setup!$E$5, 
IF(COUNTIF(AB187:AB206, "TRUE") = 3, Setup!$E$6, 
IF(COUNTIF(AB187:AB206, "TRUE") = 4, Setup!$E$7, 
IF(COUNTIF(AB187:AB206, "TRUE") = 5, Setup!$E$8, 
IF(COUNTIF(AB187:AB206, "TRUE") &gt;= 6, Setup!$E$9)))
))))</f>
        <v/>
      </c>
      <c r="AC207" s="24" t="str">
        <f t="array" ref="AC207">IF(COUNTIF(AC187:AC206, "TRUE") = 1, Setup!$E$4, 
IF(COUNTIF(AC187:AC206, "TRUE") = 0, Setup!$E$3,
IF(COUNTIF(AC187:AC206, "TRUE") = 2, Setup!$E$5, 
IF(COUNTIF(AC187:AC206, "TRUE") = 3, Setup!$E$6, 
IF(COUNTIF(AC187:AC206, "TRUE") = 4, Setup!$E$7, 
IF(COUNTIF(AC187:AC206, "TRUE") = 5, Setup!$E$8, 
IF(COUNTIF(AC187:AC206, "TRUE") &gt;= 6, Setup!$E$9)))
))))</f>
        <v/>
      </c>
      <c r="AD207" s="24" t="str">
        <f t="array" ref="AD207">IF(COUNTIF(AD187:AD206, "TRUE") = 1, Setup!$E$4, 
IF(COUNTIF(AD187:AD206, "TRUE") = 0, Setup!$E$3,
IF(COUNTIF(AD187:AD206, "TRUE") = 2, Setup!$E$5, 
IF(COUNTIF(AD187:AD206, "TRUE") = 3, Setup!$E$6, 
IF(COUNTIF(AD187:AD206, "TRUE") = 4, Setup!$E$7, 
IF(COUNTIF(AD187:AD206, "TRUE") = 5, Setup!$E$8, 
IF(COUNTIF(AD187:AD206, "TRUE") &gt;= 6, Setup!$E$9)))
))))</f>
        <v/>
      </c>
      <c r="AE207" s="24" t="str">
        <f t="array" ref="AE207">IF(COUNTIF(AE187:AE206, "TRUE") = 1, Setup!$E$4, 
IF(COUNTIF(AE187:AE206, "TRUE") = 0, Setup!$E$3,
IF(COUNTIF(AE187:AE206, "TRUE") = 2, Setup!$E$5, 
IF(COUNTIF(AE187:AE206, "TRUE") = 3, Setup!$E$6, 
IF(COUNTIF(AE187:AE206, "TRUE") = 4, Setup!$E$7, 
IF(COUNTIF(AE187:AE206, "TRUE") = 5, Setup!$E$8, 
IF(COUNTIF(AE187:AE206, "TRUE") &gt;= 6, Setup!$E$9)))
))))</f>
        <v/>
      </c>
      <c r="AF207" s="24" t="str">
        <f t="array" ref="AF207">IF(COUNTIF(AF187:AF206, "TRUE") = 1, Setup!$E$4, 
IF(COUNTIF(AF187:AF206, "TRUE") = 0, Setup!$E$3,
IF(COUNTIF(AF187:AF206, "TRUE") = 2, Setup!$E$5, 
IF(COUNTIF(AF187:AF206, "TRUE") = 3, Setup!$E$6, 
IF(COUNTIF(AF187:AF206, "TRUE") = 4, Setup!$E$7, 
IF(COUNTIF(AF187:AF206, "TRUE") = 5, Setup!$E$8, 
IF(COUNTIF(AF187:AF206, "TRUE") &gt;= 6, Setup!$E$9)))
))))</f>
        <v/>
      </c>
      <c r="AG207" s="24" t="str">
        <f t="array" ref="AG207">IF(COUNTIF(AG187:AG206, "TRUE") = 1, Setup!$E$4, 
IF(COUNTIF(AG187:AG206, "TRUE") = 0, Setup!$E$3,
IF(COUNTIF(AG187:AG206, "TRUE") = 2, Setup!$E$5, 
IF(COUNTIF(AG187:AG206, "TRUE") = 3, Setup!$E$6, 
IF(COUNTIF(AG187:AG206, "TRUE") = 4, Setup!$E$7, 
IF(COUNTIF(AG187:AG206, "TRUE") = 5, Setup!$E$8, 
IF(COUNTIF(AG187:AG206, "TRUE") &gt;= 6, Setup!$E$9)))
))))</f>
        <v/>
      </c>
      <c r="AH207" s="24" t="str">
        <f t="array" ref="AH207">IF(COUNTIF(AH187:AH206, "TRUE") = 1, Setup!$E$4, 
IF(COUNTIF(AH187:AH206, "TRUE") = 0, Setup!$E$3,
IF(COUNTIF(AH187:AH206, "TRUE") = 2, Setup!$E$5, 
IF(COUNTIF(AH187:AH206, "TRUE") = 3, Setup!$E$6, 
IF(COUNTIF(AH187:AH206, "TRUE") = 4, Setup!$E$7, 
IF(COUNTIF(AH187:AH206, "TRUE") = 5, Setup!$E$8, 
IF(COUNTIF(AH187:AH206, "TRUE") &gt;= 6, Setup!$E$9)))
))))</f>
        <v/>
      </c>
      <c r="AI207" s="24" t="str">
        <f t="array" ref="AI207">IF(COUNTIF(AI187:AI206, "TRUE") = 1, Setup!$E$4, 
IF(COUNTIF(AI187:AI206, "TRUE") = 0, Setup!$E$3,
IF(COUNTIF(AI187:AI206, "TRUE") = 2, Setup!$E$5, 
IF(COUNTIF(AI187:AI206, "TRUE") = 3, Setup!$E$6, 
IF(COUNTIF(AI187:AI206, "TRUE") = 4, Setup!$E$7, 
IF(COUNTIF(AI187:AI206, "TRUE") = 5, Setup!$E$8, 
IF(COUNTIF(AI187:AI206, "TRUE") &gt;= 6, Setup!$E$9)))
))))</f>
        <v/>
      </c>
      <c r="AJ207" s="24" t="str">
        <f t="array" ref="AJ207">IF(COUNTIF(AJ187:AJ206, "TRUE") = 1, Setup!$E$4, 
IF(COUNTIF(AJ187:AJ206, "TRUE") = 0, Setup!$E$3,
IF(COUNTIF(AJ187:AJ206, "TRUE") = 2, Setup!$E$5, 
IF(COUNTIF(AJ187:AJ206, "TRUE") = 3, Setup!$E$6, 
IF(COUNTIF(AJ187:AJ206, "TRUE") = 4, Setup!$E$7, 
IF(COUNTIF(AJ187:AJ206, "TRUE") = 5, Setup!$E$8, 
IF(COUNTIF(AJ187:AJ206, "TRUE") &gt;= 6, Setup!$E$9)))
))))</f>
        <v/>
      </c>
      <c r="AK207" s="24" t="str">
        <f t="array" ref="AK207">IF(COUNTIF(AK187:AK206, "TRUE") = 1, Setup!$E$4, 
IF(COUNTIF(AK187:AK206, "TRUE") = 0, Setup!$E$3,
IF(COUNTIF(AK187:AK206, "TRUE") = 2, Setup!$E$5, 
IF(COUNTIF(AK187:AK206, "TRUE") = 3, Setup!$E$6, 
IF(COUNTIF(AK187:AK206, "TRUE") = 4, Setup!$E$7, 
IF(COUNTIF(AK187:AK206, "TRUE") = 5, Setup!$E$8, 
IF(COUNTIF(AK187:AK206, "TRUE") &gt;= 6, Setup!$E$9)))
))))</f>
        <v/>
      </c>
      <c r="AL207" s="24" t="str">
        <f t="array" ref="AL207">IF(COUNTIF(AL187:AL206, "TRUE") = 1, Setup!$E$4, 
IF(COUNTIF(AL187:AL206, "TRUE") = 0, Setup!$E$3,
IF(COUNTIF(AL187:AL206, "TRUE") = 2, Setup!$E$5, 
IF(COUNTIF(AL187:AL206, "TRUE") = 3, Setup!$E$6, 
IF(COUNTIF(AL187:AL206, "TRUE") = 4, Setup!$E$7, 
IF(COUNTIF(AL187:AL206, "TRUE") = 5, Setup!$E$8, 
IF(COUNTIF(AL187:AL206, "TRUE") &gt;= 6, Setup!$E$9)))
))))</f>
        <v/>
      </c>
      <c r="AM207" s="24" t="str">
        <f t="array" ref="AM207">IF(COUNTIF(AM187:AM206, "TRUE") = 1, Setup!$E$4, 
IF(COUNTIF(AM187:AM206, "TRUE") = 0, Setup!$E$3,
IF(COUNTIF(AM187:AM206, "TRUE") = 2, Setup!$E$5, 
IF(COUNTIF(AM187:AM206, "TRUE") = 3, Setup!$E$6, 
IF(COUNTIF(AM187:AM206, "TRUE") = 4, Setup!$E$7, 
IF(COUNTIF(AM187:AM206, "TRUE") = 5, Setup!$E$8, 
IF(COUNTIF(AM187:AM206, "TRUE") &gt;= 6, Setup!$E$9)))
))))</f>
        <v/>
      </c>
      <c r="AN207" s="24" t="str">
        <f t="array" ref="AN207">IF(COUNTIF(AN187:AN192, "TRUE") = 1, Setup!$E$4, 
IF(COUNTIF(AN187:AN192, "TRUE") = 0, Setup!$E$3,
IF(COUNTIF(AN187:AN192, "TRUE") = 2, Setup!$E$5, 
IF(COUNTIF(AN187:AN192, "TRUE") = 3, Setup!$E$6, 
IF(COUNTIF(AN187:AN192, "TRUE") = 4, Setup!$E$7, 
IF(COUNTIF(AN187:AN192, "TRUE") = 5, Setup!$E$8, 
IF(COUNTIF(AN187:AN192, "TRUE") = 6, Setup!$E$9)))
))))</f>
        <v/>
      </c>
      <c r="AO207" s="38"/>
      <c r="AQ207" s="38"/>
      <c r="AR207" s="38"/>
      <c r="AS207" s="38"/>
      <c r="AT207" s="38"/>
    </row>
    <row r="208">
      <c r="A208" s="49" t="s">
        <v>59</v>
      </c>
      <c r="B208" s="49" t="s">
        <v>60</v>
      </c>
      <c r="I208" s="50" t="s">
        <v>61</v>
      </c>
      <c r="J208" s="16">
        <f t="array" ref="J208">DATE($D$1, MATCH(I208, {"January","February","March","April","May","June","July","August","September","October","November","December"}, 0), 1)</f>
        <v>46296</v>
      </c>
      <c r="K208" s="16">
        <f t="shared" ref="K208:AN208" si="118">J208+1</f>
        <v>46297</v>
      </c>
      <c r="L208" s="16">
        <f t="shared" si="118"/>
        <v>46298</v>
      </c>
      <c r="M208" s="16">
        <f t="shared" si="118"/>
        <v>46299</v>
      </c>
      <c r="N208" s="16">
        <f t="shared" si="118"/>
        <v>46300</v>
      </c>
      <c r="O208" s="16">
        <f t="shared" si="118"/>
        <v>46301</v>
      </c>
      <c r="P208" s="16">
        <f t="shared" si="118"/>
        <v>46302</v>
      </c>
      <c r="Q208" s="16">
        <f t="shared" si="118"/>
        <v>46303</v>
      </c>
      <c r="R208" s="16">
        <f t="shared" si="118"/>
        <v>46304</v>
      </c>
      <c r="S208" s="16">
        <f t="shared" si="118"/>
        <v>46305</v>
      </c>
      <c r="T208" s="16">
        <f t="shared" si="118"/>
        <v>46306</v>
      </c>
      <c r="U208" s="16">
        <f t="shared" si="118"/>
        <v>46307</v>
      </c>
      <c r="V208" s="16">
        <f t="shared" si="118"/>
        <v>46308</v>
      </c>
      <c r="W208" s="16">
        <f t="shared" si="118"/>
        <v>46309</v>
      </c>
      <c r="X208" s="16">
        <f t="shared" si="118"/>
        <v>46310</v>
      </c>
      <c r="Y208" s="16">
        <f t="shared" si="118"/>
        <v>46311</v>
      </c>
      <c r="Z208" s="16">
        <f t="shared" si="118"/>
        <v>46312</v>
      </c>
      <c r="AA208" s="16">
        <f t="shared" si="118"/>
        <v>46313</v>
      </c>
      <c r="AB208" s="16">
        <f t="shared" si="118"/>
        <v>46314</v>
      </c>
      <c r="AC208" s="16">
        <f t="shared" si="118"/>
        <v>46315</v>
      </c>
      <c r="AD208" s="16">
        <f t="shared" si="118"/>
        <v>46316</v>
      </c>
      <c r="AE208" s="16">
        <f t="shared" si="118"/>
        <v>46317</v>
      </c>
      <c r="AF208" s="16">
        <f t="shared" si="118"/>
        <v>46318</v>
      </c>
      <c r="AG208" s="16">
        <f t="shared" si="118"/>
        <v>46319</v>
      </c>
      <c r="AH208" s="16">
        <f t="shared" si="118"/>
        <v>46320</v>
      </c>
      <c r="AI208" s="16">
        <f t="shared" si="118"/>
        <v>46321</v>
      </c>
      <c r="AJ208" s="16">
        <f t="shared" si="118"/>
        <v>46322</v>
      </c>
      <c r="AK208" s="16">
        <f t="shared" si="118"/>
        <v>46323</v>
      </c>
      <c r="AL208" s="16">
        <f t="shared" si="118"/>
        <v>46324</v>
      </c>
      <c r="AM208" s="16">
        <f t="shared" si="118"/>
        <v>46325</v>
      </c>
      <c r="AN208" s="16">
        <f t="shared" si="118"/>
        <v>46326</v>
      </c>
      <c r="AO208" s="17" t="s">
        <v>28</v>
      </c>
      <c r="AQ208" s="18" t="s">
        <v>29</v>
      </c>
      <c r="AR208" s="18" t="s">
        <v>30</v>
      </c>
      <c r="AS208" s="18" t="s">
        <v>31</v>
      </c>
      <c r="AT208" s="18" t="s">
        <v>32</v>
      </c>
    </row>
    <row r="209" ht="15.0" customHeight="1">
      <c r="A209" s="34"/>
      <c r="B209" s="34"/>
      <c r="I209" s="35"/>
      <c r="J209" s="36">
        <f t="shared" ref="J209:AN209" si="119">J208</f>
        <v>46296</v>
      </c>
      <c r="K209" s="36">
        <f t="shared" si="119"/>
        <v>46297</v>
      </c>
      <c r="L209" s="36">
        <f t="shared" si="119"/>
        <v>46298</v>
      </c>
      <c r="M209" s="36">
        <f t="shared" si="119"/>
        <v>46299</v>
      </c>
      <c r="N209" s="36">
        <f t="shared" si="119"/>
        <v>46300</v>
      </c>
      <c r="O209" s="36">
        <f t="shared" si="119"/>
        <v>46301</v>
      </c>
      <c r="P209" s="36">
        <f t="shared" si="119"/>
        <v>46302</v>
      </c>
      <c r="Q209" s="36">
        <f t="shared" si="119"/>
        <v>46303</v>
      </c>
      <c r="R209" s="36">
        <f t="shared" si="119"/>
        <v>46304</v>
      </c>
      <c r="S209" s="36">
        <f t="shared" si="119"/>
        <v>46305</v>
      </c>
      <c r="T209" s="36">
        <f t="shared" si="119"/>
        <v>46306</v>
      </c>
      <c r="U209" s="36">
        <f t="shared" si="119"/>
        <v>46307</v>
      </c>
      <c r="V209" s="36">
        <f t="shared" si="119"/>
        <v>46308</v>
      </c>
      <c r="W209" s="36">
        <f t="shared" si="119"/>
        <v>46309</v>
      </c>
      <c r="X209" s="36">
        <f t="shared" si="119"/>
        <v>46310</v>
      </c>
      <c r="Y209" s="36">
        <f t="shared" si="119"/>
        <v>46311</v>
      </c>
      <c r="Z209" s="36">
        <f t="shared" si="119"/>
        <v>46312</v>
      </c>
      <c r="AA209" s="36">
        <f t="shared" si="119"/>
        <v>46313</v>
      </c>
      <c r="AB209" s="36">
        <f t="shared" si="119"/>
        <v>46314</v>
      </c>
      <c r="AC209" s="36">
        <f t="shared" si="119"/>
        <v>46315</v>
      </c>
      <c r="AD209" s="36">
        <f t="shared" si="119"/>
        <v>46316</v>
      </c>
      <c r="AE209" s="36">
        <f t="shared" si="119"/>
        <v>46317</v>
      </c>
      <c r="AF209" s="36">
        <f t="shared" si="119"/>
        <v>46318</v>
      </c>
      <c r="AG209" s="36">
        <f t="shared" si="119"/>
        <v>46319</v>
      </c>
      <c r="AH209" s="36">
        <f t="shared" si="119"/>
        <v>46320</v>
      </c>
      <c r="AI209" s="36">
        <f t="shared" si="119"/>
        <v>46321</v>
      </c>
      <c r="AJ209" s="36">
        <f t="shared" si="119"/>
        <v>46322</v>
      </c>
      <c r="AK209" s="36">
        <f t="shared" si="119"/>
        <v>46323</v>
      </c>
      <c r="AL209" s="36">
        <f t="shared" si="119"/>
        <v>46324</v>
      </c>
      <c r="AM209" s="36">
        <f t="shared" si="119"/>
        <v>46325</v>
      </c>
      <c r="AN209" s="36">
        <f t="shared" si="119"/>
        <v>46326</v>
      </c>
    </row>
    <row r="210">
      <c r="A210" s="51"/>
      <c r="B210" s="52" t="str">
        <f t="shared" ref="B210:H210" si="120">IF($E$2="Monday", TEXT(TODAY()-WEEKDAY(TODAY(),2)+COLUMN(B210)-1,"ddd"), TEXT(TODAY()-WEEKDAY(TODAY(),1)+IF(COLUMN(B210)&gt;1,COLUMN(B210)-1,7),"ddd"))
</f>
        <v>Mon</v>
      </c>
      <c r="C210" s="52" t="str">
        <f t="shared" si="120"/>
        <v>Tue</v>
      </c>
      <c r="D210" s="52" t="str">
        <f t="shared" si="120"/>
        <v>Wed</v>
      </c>
      <c r="E210" s="52" t="str">
        <f t="shared" si="120"/>
        <v>Thu</v>
      </c>
      <c r="F210" s="52" t="str">
        <f t="shared" si="120"/>
        <v>Fri</v>
      </c>
      <c r="G210" s="52" t="str">
        <f t="shared" si="120"/>
        <v>Sat</v>
      </c>
      <c r="H210" s="52" t="str">
        <f t="shared" si="120"/>
        <v>Sun</v>
      </c>
      <c r="I210" s="6" t="str">
        <f t="array" ref="I210:I229">Setup!$B$3:$B$22</f>
        <v>🧘🏻‍♀️Yoga</v>
      </c>
      <c r="J210" s="38" t="b">
        <v>0</v>
      </c>
      <c r="K210" s="38" t="b">
        <v>0</v>
      </c>
      <c r="L210" s="38" t="b">
        <v>0</v>
      </c>
      <c r="M210" s="38" t="b">
        <v>0</v>
      </c>
      <c r="N210" s="38" t="b">
        <v>0</v>
      </c>
      <c r="O210" s="38" t="b">
        <v>0</v>
      </c>
      <c r="P210" s="38" t="b">
        <v>0</v>
      </c>
      <c r="Q210" s="38" t="b">
        <v>0</v>
      </c>
      <c r="R210" s="38" t="b">
        <v>0</v>
      </c>
      <c r="S210" s="38" t="b">
        <v>0</v>
      </c>
      <c r="T210" s="38" t="b">
        <v>0</v>
      </c>
      <c r="U210" s="38" t="b">
        <v>0</v>
      </c>
      <c r="V210" s="38" t="b">
        <v>0</v>
      </c>
      <c r="W210" s="38" t="b">
        <v>0</v>
      </c>
      <c r="X210" s="38" t="b">
        <v>0</v>
      </c>
      <c r="Y210" s="38" t="b">
        <v>0</v>
      </c>
      <c r="Z210" s="38" t="b">
        <v>0</v>
      </c>
      <c r="AA210" s="38" t="b">
        <v>0</v>
      </c>
      <c r="AB210" s="38" t="b">
        <v>0</v>
      </c>
      <c r="AC210" s="38" t="b">
        <v>0</v>
      </c>
      <c r="AD210" s="38" t="b">
        <v>0</v>
      </c>
      <c r="AE210" s="38" t="b">
        <v>0</v>
      </c>
      <c r="AF210" s="38" t="b">
        <v>0</v>
      </c>
      <c r="AG210" s="38" t="b">
        <v>0</v>
      </c>
      <c r="AH210" s="38" t="b">
        <v>0</v>
      </c>
      <c r="AI210" s="38" t="b">
        <v>0</v>
      </c>
      <c r="AJ210" s="38" t="b">
        <v>0</v>
      </c>
      <c r="AK210" s="38" t="b">
        <v>0</v>
      </c>
      <c r="AL210" s="38" t="b">
        <v>0</v>
      </c>
      <c r="AM210" s="38" t="b">
        <v>0</v>
      </c>
      <c r="AN210" s="38" t="b">
        <v>0</v>
      </c>
      <c r="AO210" s="25">
        <f t="shared" ref="AO210:AO229" si="122">COUNTIF(J210:AN210, "TRUE")</f>
        <v>0</v>
      </c>
      <c r="AQ210" s="25">
        <f>IFERROR(__xludf.DUMMYFUNCTION("if(iserror(match(true,J210:AN210,0)),0,len(index(split(substitute(substitute(join("","",J210:AN210)&amp;"","",""TRUE,"",""x""),""FALSE,"","",""),"",""),,counta(split(substitute(substitute(join("","",J210:AN210)&amp;"","",""TRUE,"",""x""),""FALSE,"","",""),"",""))"&amp;")))"),0.0)</f>
        <v>0</v>
      </c>
      <c r="AR210" s="25" t="str">
        <f>IFERROR(__xludf.DUMMYFUNCTION("arrayformula( if( sum(J210:AN210 + 0), max( len( split( concatenate( left(J210:AN210) ), ""F"" ) ) ), ""0"" ) )"),"0")</f>
        <v>0</v>
      </c>
      <c r="AS210" s="26">
        <v>15.0</v>
      </c>
      <c r="AT210" s="27">
        <f t="shared" ref="AT210:AT229" si="123">AO210/AS210</f>
        <v>0</v>
      </c>
    </row>
    <row r="211">
      <c r="A211" s="28">
        <f>WEEKNUM(DATE($D$1, MONTH(I208 &amp; 1), 1), 2)
</f>
        <v>40</v>
      </c>
      <c r="B211" s="29">
        <f t="array" ref="B211">IFERROR(DATE($D$1, 1, (A211-1)*7 + 2 - WEEKDAY(DATE($D$1, 1, 1) - MATCH(B210, {"Mon","Tue","Wed","Thu","Fri","Sat","Sun"}, 0))), "")</f>
        <v>46293</v>
      </c>
      <c r="C211" s="30">
        <f t="shared" ref="C211:H211" si="121">B211+1</f>
        <v>46294</v>
      </c>
      <c r="D211" s="30">
        <f t="shared" si="121"/>
        <v>46295</v>
      </c>
      <c r="E211" s="30">
        <f t="shared" si="121"/>
        <v>46296</v>
      </c>
      <c r="F211" s="30">
        <f t="shared" si="121"/>
        <v>46297</v>
      </c>
      <c r="G211" s="30">
        <f t="shared" si="121"/>
        <v>46298</v>
      </c>
      <c r="H211" s="30">
        <f t="shared" si="121"/>
        <v>46299</v>
      </c>
      <c r="I211" s="6" t="s">
        <v>7</v>
      </c>
      <c r="J211" s="38" t="b">
        <v>0</v>
      </c>
      <c r="K211" s="38" t="b">
        <v>0</v>
      </c>
      <c r="L211" s="38" t="b">
        <v>0</v>
      </c>
      <c r="M211" s="38" t="b">
        <v>0</v>
      </c>
      <c r="N211" s="38" t="b">
        <v>0</v>
      </c>
      <c r="O211" s="38" t="b">
        <v>0</v>
      </c>
      <c r="P211" s="38" t="b">
        <v>0</v>
      </c>
      <c r="Q211" s="38" t="b">
        <v>0</v>
      </c>
      <c r="R211" s="38" t="b">
        <v>0</v>
      </c>
      <c r="S211" s="38" t="b">
        <v>0</v>
      </c>
      <c r="T211" s="38" t="b">
        <v>0</v>
      </c>
      <c r="U211" s="38" t="b">
        <v>0</v>
      </c>
      <c r="V211" s="38" t="b">
        <v>0</v>
      </c>
      <c r="W211" s="38" t="b">
        <v>0</v>
      </c>
      <c r="X211" s="38" t="b">
        <v>0</v>
      </c>
      <c r="Y211" s="38" t="b">
        <v>0</v>
      </c>
      <c r="Z211" s="38" t="b">
        <v>0</v>
      </c>
      <c r="AA211" s="38" t="b">
        <v>0</v>
      </c>
      <c r="AB211" s="38" t="b">
        <v>0</v>
      </c>
      <c r="AC211" s="38" t="b">
        <v>0</v>
      </c>
      <c r="AD211" s="38" t="b">
        <v>0</v>
      </c>
      <c r="AE211" s="38" t="b">
        <v>0</v>
      </c>
      <c r="AF211" s="38" t="b">
        <v>0</v>
      </c>
      <c r="AG211" s="38" t="b">
        <v>0</v>
      </c>
      <c r="AH211" s="38" t="b">
        <v>0</v>
      </c>
      <c r="AI211" s="38" t="b">
        <v>0</v>
      </c>
      <c r="AJ211" s="38" t="b">
        <v>0</v>
      </c>
      <c r="AK211" s="38" t="b">
        <v>0</v>
      </c>
      <c r="AL211" s="38" t="b">
        <v>0</v>
      </c>
      <c r="AM211" s="38" t="b">
        <v>0</v>
      </c>
      <c r="AN211" s="38" t="b">
        <v>0</v>
      </c>
      <c r="AO211" s="25">
        <f t="shared" si="122"/>
        <v>0</v>
      </c>
      <c r="AQ211" s="25">
        <f>IFERROR(__xludf.DUMMYFUNCTION("if(iserror(match(true,J211:AN211,0)),0,len(index(split(substitute(substitute(join("","",J211:AN211)&amp;"","",""TRUE,"",""x""),""FALSE,"","",""),"",""),,counta(split(substitute(substitute(join("","",J211:AN211)&amp;"","",""TRUE,"",""x""),""FALSE,"","",""),"",""))"&amp;")))"),0.0)</f>
        <v>0</v>
      </c>
      <c r="AR211" s="25" t="str">
        <f>IFERROR(__xludf.DUMMYFUNCTION("arrayformula( if( sum(J211:AN211 + 0), max( len( split( concatenate( left(J211:AN211) ), ""F"" ) ) ), ""0"" ) )"),"0")</f>
        <v>0</v>
      </c>
      <c r="AS211" s="26">
        <v>20.0</v>
      </c>
      <c r="AT211" s="27">
        <f t="shared" si="123"/>
        <v>0</v>
      </c>
    </row>
    <row r="212">
      <c r="A212" s="31">
        <f t="shared" ref="A212:A216" si="125">A211+1</f>
        <v>41</v>
      </c>
      <c r="B212" s="30">
        <f t="shared" ref="B212:B216" si="126">H211+1</f>
        <v>46300</v>
      </c>
      <c r="C212" s="30">
        <f t="shared" ref="C212:H212" si="124">B212+1</f>
        <v>46301</v>
      </c>
      <c r="D212" s="30">
        <f t="shared" si="124"/>
        <v>46302</v>
      </c>
      <c r="E212" s="30">
        <f t="shared" si="124"/>
        <v>46303</v>
      </c>
      <c r="F212" s="30">
        <f t="shared" si="124"/>
        <v>46304</v>
      </c>
      <c r="G212" s="30">
        <f t="shared" si="124"/>
        <v>46305</v>
      </c>
      <c r="H212" s="30">
        <f t="shared" si="124"/>
        <v>46306</v>
      </c>
      <c r="I212" s="6" t="s">
        <v>11</v>
      </c>
      <c r="J212" s="38" t="b">
        <v>0</v>
      </c>
      <c r="K212" s="38" t="b">
        <v>0</v>
      </c>
      <c r="L212" s="38" t="b">
        <v>0</v>
      </c>
      <c r="M212" s="38" t="b">
        <v>0</v>
      </c>
      <c r="N212" s="38" t="b">
        <v>0</v>
      </c>
      <c r="O212" s="38" t="b">
        <v>0</v>
      </c>
      <c r="P212" s="38" t="b">
        <v>0</v>
      </c>
      <c r="Q212" s="38" t="b">
        <v>0</v>
      </c>
      <c r="R212" s="38" t="b">
        <v>0</v>
      </c>
      <c r="S212" s="38" t="b">
        <v>0</v>
      </c>
      <c r="T212" s="38" t="b">
        <v>0</v>
      </c>
      <c r="U212" s="38" t="b">
        <v>0</v>
      </c>
      <c r="V212" s="38" t="b">
        <v>0</v>
      </c>
      <c r="W212" s="38" t="b">
        <v>0</v>
      </c>
      <c r="X212" s="38" t="b">
        <v>0</v>
      </c>
      <c r="Y212" s="38" t="b">
        <v>0</v>
      </c>
      <c r="Z212" s="38" t="b">
        <v>0</v>
      </c>
      <c r="AA212" s="38" t="b">
        <v>0</v>
      </c>
      <c r="AB212" s="38" t="b">
        <v>0</v>
      </c>
      <c r="AC212" s="38" t="b">
        <v>0</v>
      </c>
      <c r="AD212" s="38" t="b">
        <v>0</v>
      </c>
      <c r="AE212" s="38" t="b">
        <v>0</v>
      </c>
      <c r="AF212" s="38" t="b">
        <v>0</v>
      </c>
      <c r="AG212" s="38" t="b">
        <v>0</v>
      </c>
      <c r="AH212" s="38" t="b">
        <v>0</v>
      </c>
      <c r="AI212" s="38" t="b">
        <v>0</v>
      </c>
      <c r="AJ212" s="38" t="b">
        <v>0</v>
      </c>
      <c r="AK212" s="38" t="b">
        <v>0</v>
      </c>
      <c r="AL212" s="38" t="b">
        <v>0</v>
      </c>
      <c r="AM212" s="38" t="b">
        <v>0</v>
      </c>
      <c r="AN212" s="38" t="b">
        <v>0</v>
      </c>
      <c r="AO212" s="25">
        <f t="shared" si="122"/>
        <v>0</v>
      </c>
      <c r="AQ212" s="25">
        <f>IFERROR(__xludf.DUMMYFUNCTION("if(iserror(match(true,J212:AN212,0)),0,len(index(split(substitute(substitute(join("","",J212:AN212)&amp;"","",""TRUE,"",""x""),""FALSE,"","",""),"",""),,counta(split(substitute(substitute(join("","",J212:AN212)&amp;"","",""TRUE,"",""x""),""FALSE,"","",""),"",""))"&amp;")))"),0.0)</f>
        <v>0</v>
      </c>
      <c r="AR212" s="25" t="str">
        <f>IFERROR(__xludf.DUMMYFUNCTION("arrayformula( if( sum(J212:AN212 + 0), max( len( split( concatenate( left(J212:AN212) ), ""F"" ) ) ), ""0"" ) )"),"0")</f>
        <v>0</v>
      </c>
      <c r="AS212" s="26">
        <v>30.0</v>
      </c>
      <c r="AT212" s="27">
        <f t="shared" si="123"/>
        <v>0</v>
      </c>
    </row>
    <row r="213">
      <c r="A213" s="31">
        <f t="shared" si="125"/>
        <v>42</v>
      </c>
      <c r="B213" s="30">
        <f t="shared" si="126"/>
        <v>46307</v>
      </c>
      <c r="C213" s="30">
        <f t="shared" ref="C213:H213" si="127">B213+1</f>
        <v>46308</v>
      </c>
      <c r="D213" s="30">
        <f t="shared" si="127"/>
        <v>46309</v>
      </c>
      <c r="E213" s="30">
        <f t="shared" si="127"/>
        <v>46310</v>
      </c>
      <c r="F213" s="30">
        <f t="shared" si="127"/>
        <v>46311</v>
      </c>
      <c r="G213" s="30">
        <f t="shared" si="127"/>
        <v>46312</v>
      </c>
      <c r="H213" s="30">
        <f t="shared" si="127"/>
        <v>46313</v>
      </c>
      <c r="I213" s="6" t="s">
        <v>14</v>
      </c>
      <c r="J213" s="38" t="b">
        <v>0</v>
      </c>
      <c r="K213" s="38" t="b">
        <v>0</v>
      </c>
      <c r="L213" s="38" t="b">
        <v>0</v>
      </c>
      <c r="M213" s="38" t="b">
        <v>0</v>
      </c>
      <c r="N213" s="38" t="b">
        <v>0</v>
      </c>
      <c r="O213" s="38" t="b">
        <v>0</v>
      </c>
      <c r="P213" s="38" t="b">
        <v>0</v>
      </c>
      <c r="Q213" s="38" t="b">
        <v>0</v>
      </c>
      <c r="R213" s="38" t="b">
        <v>0</v>
      </c>
      <c r="S213" s="38" t="b">
        <v>0</v>
      </c>
      <c r="T213" s="38" t="b">
        <v>0</v>
      </c>
      <c r="U213" s="38" t="b">
        <v>0</v>
      </c>
      <c r="V213" s="38" t="b">
        <v>0</v>
      </c>
      <c r="W213" s="38" t="b">
        <v>0</v>
      </c>
      <c r="X213" s="38" t="b">
        <v>0</v>
      </c>
      <c r="Y213" s="38" t="b">
        <v>0</v>
      </c>
      <c r="Z213" s="38" t="b">
        <v>0</v>
      </c>
      <c r="AA213" s="38" t="b">
        <v>0</v>
      </c>
      <c r="AB213" s="38" t="b">
        <v>0</v>
      </c>
      <c r="AC213" s="38" t="b">
        <v>0</v>
      </c>
      <c r="AD213" s="38" t="b">
        <v>0</v>
      </c>
      <c r="AE213" s="38" t="b">
        <v>0</v>
      </c>
      <c r="AF213" s="38" t="b">
        <v>0</v>
      </c>
      <c r="AG213" s="38" t="b">
        <v>0</v>
      </c>
      <c r="AH213" s="38" t="b">
        <v>0</v>
      </c>
      <c r="AI213" s="38" t="b">
        <v>0</v>
      </c>
      <c r="AJ213" s="38" t="b">
        <v>0</v>
      </c>
      <c r="AK213" s="38" t="b">
        <v>0</v>
      </c>
      <c r="AL213" s="38" t="b">
        <v>0</v>
      </c>
      <c r="AM213" s="38" t="b">
        <v>0</v>
      </c>
      <c r="AN213" s="38" t="b">
        <v>0</v>
      </c>
      <c r="AO213" s="25">
        <f t="shared" si="122"/>
        <v>0</v>
      </c>
      <c r="AQ213" s="25">
        <f>IFERROR(__xludf.DUMMYFUNCTION("if(iserror(match(true,J213:AN213,0)),0,len(index(split(substitute(substitute(join("","",J213:AN213)&amp;"","",""TRUE,"",""x""),""FALSE,"","",""),"",""),,counta(split(substitute(substitute(join("","",J213:AN213)&amp;"","",""TRUE,"",""x""),""FALSE,"","",""),"",""))"&amp;")))"),0.0)</f>
        <v>0</v>
      </c>
      <c r="AR213" s="25" t="str">
        <f>IFERROR(__xludf.DUMMYFUNCTION("arrayformula( if( sum(J213:AN213 + 0), max( len( split( concatenate( left(J213:AN213) ), ""F"" ) ) ), ""0"" ) )"),"0")</f>
        <v>0</v>
      </c>
      <c r="AS213" s="26">
        <v>20.0</v>
      </c>
      <c r="AT213" s="27">
        <f t="shared" si="123"/>
        <v>0</v>
      </c>
    </row>
    <row r="214">
      <c r="A214" s="31">
        <f t="shared" si="125"/>
        <v>43</v>
      </c>
      <c r="B214" s="30">
        <f t="shared" si="126"/>
        <v>46314</v>
      </c>
      <c r="C214" s="30">
        <f t="shared" ref="C214:H214" si="128">B214+1</f>
        <v>46315</v>
      </c>
      <c r="D214" s="30">
        <f t="shared" si="128"/>
        <v>46316</v>
      </c>
      <c r="E214" s="30">
        <f t="shared" si="128"/>
        <v>46317</v>
      </c>
      <c r="F214" s="30">
        <f t="shared" si="128"/>
        <v>46318</v>
      </c>
      <c r="G214" s="30">
        <f t="shared" si="128"/>
        <v>46319</v>
      </c>
      <c r="H214" s="30">
        <f t="shared" si="128"/>
        <v>46320</v>
      </c>
      <c r="I214" s="6" t="s">
        <v>17</v>
      </c>
      <c r="J214" s="38" t="b">
        <v>0</v>
      </c>
      <c r="K214" s="38" t="b">
        <v>0</v>
      </c>
      <c r="L214" s="38" t="b">
        <v>0</v>
      </c>
      <c r="M214" s="38" t="b">
        <v>0</v>
      </c>
      <c r="N214" s="38" t="b">
        <v>0</v>
      </c>
      <c r="O214" s="38" t="b">
        <v>0</v>
      </c>
      <c r="P214" s="38" t="b">
        <v>0</v>
      </c>
      <c r="Q214" s="38" t="b">
        <v>0</v>
      </c>
      <c r="R214" s="38" t="b">
        <v>0</v>
      </c>
      <c r="S214" s="38" t="b">
        <v>0</v>
      </c>
      <c r="T214" s="38" t="b">
        <v>0</v>
      </c>
      <c r="U214" s="38" t="b">
        <v>0</v>
      </c>
      <c r="V214" s="38" t="b">
        <v>0</v>
      </c>
      <c r="W214" s="38" t="b">
        <v>0</v>
      </c>
      <c r="X214" s="38" t="b">
        <v>0</v>
      </c>
      <c r="Y214" s="38" t="b">
        <v>0</v>
      </c>
      <c r="Z214" s="38" t="b">
        <v>0</v>
      </c>
      <c r="AA214" s="38" t="b">
        <v>0</v>
      </c>
      <c r="AB214" s="38" t="b">
        <v>0</v>
      </c>
      <c r="AC214" s="38" t="b">
        <v>0</v>
      </c>
      <c r="AD214" s="38" t="b">
        <v>0</v>
      </c>
      <c r="AE214" s="38" t="b">
        <v>0</v>
      </c>
      <c r="AF214" s="38" t="b">
        <v>0</v>
      </c>
      <c r="AG214" s="38" t="b">
        <v>0</v>
      </c>
      <c r="AH214" s="38" t="b">
        <v>0</v>
      </c>
      <c r="AI214" s="38" t="b">
        <v>0</v>
      </c>
      <c r="AJ214" s="38" t="b">
        <v>0</v>
      </c>
      <c r="AK214" s="38" t="b">
        <v>0</v>
      </c>
      <c r="AL214" s="38" t="b">
        <v>0</v>
      </c>
      <c r="AM214" s="38" t="b">
        <v>0</v>
      </c>
      <c r="AN214" s="38" t="b">
        <v>0</v>
      </c>
      <c r="AO214" s="25">
        <f t="shared" si="122"/>
        <v>0</v>
      </c>
      <c r="AQ214" s="25">
        <f>IFERROR(__xludf.DUMMYFUNCTION("if(iserror(match(true,J214:AN214,0)),0,len(index(split(substitute(substitute(join("","",J214:AN214)&amp;"","",""TRUE,"",""x""),""FALSE,"","",""),"",""),,counta(split(substitute(substitute(join("","",J214:AN214)&amp;"","",""TRUE,"",""x""),""FALSE,"","",""),"",""))"&amp;")))"),0.0)</f>
        <v>0</v>
      </c>
      <c r="AR214" s="25" t="str">
        <f>IFERROR(__xludf.DUMMYFUNCTION("arrayformula( if( sum(J214:AN214 + 0), max( len( split( concatenate( left(J214:AN214) ), ""F"" ) ) ), ""0"" ) )"),"0")</f>
        <v>0</v>
      </c>
      <c r="AS214" s="26">
        <v>20.0</v>
      </c>
      <c r="AT214" s="27">
        <f t="shared" si="123"/>
        <v>0</v>
      </c>
    </row>
    <row r="215">
      <c r="A215" s="31">
        <f t="shared" si="125"/>
        <v>44</v>
      </c>
      <c r="B215" s="30">
        <f t="shared" si="126"/>
        <v>46321</v>
      </c>
      <c r="C215" s="30">
        <f t="shared" ref="C215:H215" si="129">B215+1</f>
        <v>46322</v>
      </c>
      <c r="D215" s="30">
        <f t="shared" si="129"/>
        <v>46323</v>
      </c>
      <c r="E215" s="30">
        <f t="shared" si="129"/>
        <v>46324</v>
      </c>
      <c r="F215" s="30">
        <f t="shared" si="129"/>
        <v>46325</v>
      </c>
      <c r="G215" s="30">
        <f t="shared" si="129"/>
        <v>46326</v>
      </c>
      <c r="H215" s="30">
        <f t="shared" si="129"/>
        <v>46327</v>
      </c>
      <c r="I215" s="6" t="s">
        <v>20</v>
      </c>
      <c r="J215" s="38" t="b">
        <v>0</v>
      </c>
      <c r="K215" s="38" t="b">
        <v>0</v>
      </c>
      <c r="L215" s="38" t="b">
        <v>0</v>
      </c>
      <c r="M215" s="38" t="b">
        <v>0</v>
      </c>
      <c r="N215" s="38" t="b">
        <v>0</v>
      </c>
      <c r="O215" s="38" t="b">
        <v>0</v>
      </c>
      <c r="P215" s="38" t="b">
        <v>0</v>
      </c>
      <c r="Q215" s="38" t="b">
        <v>0</v>
      </c>
      <c r="R215" s="38" t="b">
        <v>0</v>
      </c>
      <c r="S215" s="38" t="b">
        <v>0</v>
      </c>
      <c r="T215" s="38" t="b">
        <v>0</v>
      </c>
      <c r="U215" s="38" t="b">
        <v>0</v>
      </c>
      <c r="V215" s="38" t="b">
        <v>0</v>
      </c>
      <c r="W215" s="38" t="b">
        <v>0</v>
      </c>
      <c r="X215" s="38" t="b">
        <v>0</v>
      </c>
      <c r="Y215" s="38" t="b">
        <v>0</v>
      </c>
      <c r="Z215" s="38" t="b">
        <v>0</v>
      </c>
      <c r="AA215" s="38" t="b">
        <v>0</v>
      </c>
      <c r="AB215" s="38" t="b">
        <v>0</v>
      </c>
      <c r="AC215" s="38" t="b">
        <v>0</v>
      </c>
      <c r="AD215" s="38" t="b">
        <v>0</v>
      </c>
      <c r="AE215" s="38" t="b">
        <v>0</v>
      </c>
      <c r="AF215" s="38" t="b">
        <v>0</v>
      </c>
      <c r="AG215" s="38" t="b">
        <v>0</v>
      </c>
      <c r="AH215" s="38" t="b">
        <v>0</v>
      </c>
      <c r="AI215" s="38" t="b">
        <v>0</v>
      </c>
      <c r="AJ215" s="38" t="b">
        <v>0</v>
      </c>
      <c r="AK215" s="38" t="b">
        <v>0</v>
      </c>
      <c r="AL215" s="38" t="b">
        <v>0</v>
      </c>
      <c r="AM215" s="38" t="b">
        <v>0</v>
      </c>
      <c r="AN215" s="38" t="b">
        <v>0</v>
      </c>
      <c r="AO215" s="25">
        <f t="shared" si="122"/>
        <v>0</v>
      </c>
      <c r="AQ215" s="25">
        <f>IFERROR(__xludf.DUMMYFUNCTION("if(iserror(match(true,J215:AN215,0)),0,len(index(split(substitute(substitute(join("","",J215:AN215)&amp;"","",""TRUE,"",""x""),""FALSE,"","",""),"",""),,counta(split(substitute(substitute(join("","",J215:AN215)&amp;"","",""TRUE,"",""x""),""FALSE,"","",""),"",""))"&amp;")))"),0.0)</f>
        <v>0</v>
      </c>
      <c r="AR215" s="25" t="str">
        <f>IFERROR(__xludf.DUMMYFUNCTION("arrayformula( if( sum(J215:AN215 + 0), max( len( split( concatenate( left(J215:AN215) ), ""F"" ) ) ), ""0"" ) )"),"0")</f>
        <v>0</v>
      </c>
      <c r="AS215" s="26">
        <v>15.0</v>
      </c>
      <c r="AT215" s="27">
        <f t="shared" si="123"/>
        <v>0</v>
      </c>
    </row>
    <row r="216">
      <c r="A216" s="31">
        <f t="shared" si="125"/>
        <v>45</v>
      </c>
      <c r="B216" s="30">
        <f t="shared" si="126"/>
        <v>46328</v>
      </c>
      <c r="C216" s="30">
        <f t="shared" ref="C216:H216" si="130">B216+1</f>
        <v>46329</v>
      </c>
      <c r="D216" s="30">
        <f t="shared" si="130"/>
        <v>46330</v>
      </c>
      <c r="E216" s="30">
        <f t="shared" si="130"/>
        <v>46331</v>
      </c>
      <c r="F216" s="30">
        <f t="shared" si="130"/>
        <v>46332</v>
      </c>
      <c r="G216" s="30">
        <f t="shared" si="130"/>
        <v>46333</v>
      </c>
      <c r="H216" s="30">
        <f t="shared" si="130"/>
        <v>46334</v>
      </c>
      <c r="I216" s="6"/>
      <c r="J216" s="38" t="b">
        <v>0</v>
      </c>
      <c r="K216" s="38" t="b">
        <v>0</v>
      </c>
      <c r="L216" s="38" t="b">
        <v>0</v>
      </c>
      <c r="M216" s="38" t="b">
        <v>0</v>
      </c>
      <c r="N216" s="38" t="b">
        <v>0</v>
      </c>
      <c r="O216" s="38" t="b">
        <v>0</v>
      </c>
      <c r="P216" s="38" t="b">
        <v>0</v>
      </c>
      <c r="Q216" s="38" t="b">
        <v>0</v>
      </c>
      <c r="R216" s="38" t="b">
        <v>0</v>
      </c>
      <c r="S216" s="38" t="b">
        <v>0</v>
      </c>
      <c r="T216" s="38" t="b">
        <v>0</v>
      </c>
      <c r="U216" s="38" t="b">
        <v>0</v>
      </c>
      <c r="V216" s="38" t="b">
        <v>0</v>
      </c>
      <c r="W216" s="38" t="b">
        <v>0</v>
      </c>
      <c r="X216" s="38" t="b">
        <v>0</v>
      </c>
      <c r="Y216" s="38" t="b">
        <v>0</v>
      </c>
      <c r="Z216" s="38" t="b">
        <v>0</v>
      </c>
      <c r="AA216" s="38" t="b">
        <v>0</v>
      </c>
      <c r="AB216" s="38" t="b">
        <v>0</v>
      </c>
      <c r="AC216" s="38" t="b">
        <v>0</v>
      </c>
      <c r="AD216" s="38" t="b">
        <v>0</v>
      </c>
      <c r="AE216" s="38" t="b">
        <v>0</v>
      </c>
      <c r="AF216" s="38" t="b">
        <v>0</v>
      </c>
      <c r="AG216" s="38" t="b">
        <v>0</v>
      </c>
      <c r="AH216" s="38" t="b">
        <v>0</v>
      </c>
      <c r="AI216" s="38" t="b">
        <v>0</v>
      </c>
      <c r="AJ216" s="38" t="b">
        <v>0</v>
      </c>
      <c r="AK216" s="38" t="b">
        <v>0</v>
      </c>
      <c r="AL216" s="38" t="b">
        <v>0</v>
      </c>
      <c r="AM216" s="38" t="b">
        <v>0</v>
      </c>
      <c r="AN216" s="38" t="b">
        <v>0</v>
      </c>
      <c r="AO216" s="25">
        <f t="shared" si="122"/>
        <v>0</v>
      </c>
      <c r="AQ216" s="25">
        <f>IFERROR(__xludf.DUMMYFUNCTION("if(iserror(match(true,J216:AN216,0)),0,len(index(split(substitute(substitute(join("","",J216:AN216)&amp;"","",""TRUE,"",""x""),""FALSE,"","",""),"",""),,counta(split(substitute(substitute(join("","",J216:AN216)&amp;"","",""TRUE,"",""x""),""FALSE,"","",""),"",""))"&amp;")))"),0.0)</f>
        <v>0</v>
      </c>
      <c r="AR216" s="25" t="str">
        <f>IFERROR(__xludf.DUMMYFUNCTION("arrayformula( if( sum(J216:AN216 + 0), max( len( split( concatenate( left(J216:AN216) ), ""F"" ) ) ), ""0"" ) )"),"0")</f>
        <v>0</v>
      </c>
      <c r="AS216" s="26">
        <v>15.0</v>
      </c>
      <c r="AT216" s="27">
        <f t="shared" si="123"/>
        <v>0</v>
      </c>
    </row>
    <row r="217" hidden="1">
      <c r="A217" s="39"/>
      <c r="B217" s="40"/>
      <c r="C217" s="40"/>
      <c r="D217" s="41"/>
      <c r="E217" s="41"/>
      <c r="F217" s="41"/>
      <c r="G217" s="41"/>
      <c r="H217" s="41"/>
      <c r="I217" s="6"/>
      <c r="J217" s="38" t="b">
        <v>0</v>
      </c>
      <c r="K217" s="38" t="b">
        <v>0</v>
      </c>
      <c r="L217" s="38" t="b">
        <v>0</v>
      </c>
      <c r="M217" s="38" t="b">
        <v>0</v>
      </c>
      <c r="N217" s="38" t="b">
        <v>0</v>
      </c>
      <c r="O217" s="38" t="b">
        <v>0</v>
      </c>
      <c r="P217" s="38" t="b">
        <v>0</v>
      </c>
      <c r="Q217" s="38" t="b">
        <v>0</v>
      </c>
      <c r="R217" s="38" t="b">
        <v>0</v>
      </c>
      <c r="S217" s="38" t="b">
        <v>0</v>
      </c>
      <c r="T217" s="38" t="b">
        <v>0</v>
      </c>
      <c r="U217" s="38" t="b">
        <v>0</v>
      </c>
      <c r="V217" s="38" t="b">
        <v>0</v>
      </c>
      <c r="W217" s="38" t="b">
        <v>0</v>
      </c>
      <c r="X217" s="38" t="b">
        <v>0</v>
      </c>
      <c r="Y217" s="38" t="b">
        <v>0</v>
      </c>
      <c r="Z217" s="38" t="b">
        <v>0</v>
      </c>
      <c r="AA217" s="38" t="b">
        <v>0</v>
      </c>
      <c r="AB217" s="38" t="b">
        <v>0</v>
      </c>
      <c r="AC217" s="38" t="b">
        <v>0</v>
      </c>
      <c r="AD217" s="38" t="b">
        <v>0</v>
      </c>
      <c r="AE217" s="38" t="b">
        <v>0</v>
      </c>
      <c r="AF217" s="38" t="b">
        <v>0</v>
      </c>
      <c r="AG217" s="38" t="b">
        <v>0</v>
      </c>
      <c r="AH217" s="38" t="b">
        <v>0</v>
      </c>
      <c r="AI217" s="38" t="b">
        <v>0</v>
      </c>
      <c r="AJ217" s="38" t="b">
        <v>0</v>
      </c>
      <c r="AK217" s="38" t="b">
        <v>0</v>
      </c>
      <c r="AL217" s="38" t="b">
        <v>0</v>
      </c>
      <c r="AM217" s="38" t="b">
        <v>0</v>
      </c>
      <c r="AN217" s="38" t="b">
        <v>0</v>
      </c>
      <c r="AO217" s="25">
        <f t="shared" si="122"/>
        <v>0</v>
      </c>
      <c r="AQ217" s="25">
        <f>IFERROR(__xludf.DUMMYFUNCTION("if(iserror(match(true,J217:AN217,0)),0,len(index(split(substitute(substitute(join("","",J217:AN217)&amp;"","",""TRUE,"",""x""),""FALSE,"","",""),"",""),,counta(split(substitute(substitute(join("","",J217:AN217)&amp;"","",""TRUE,"",""x""),""FALSE,"","",""),"",""))"&amp;")))"),0.0)</f>
        <v>0</v>
      </c>
      <c r="AR217" s="25" t="str">
        <f>IFERROR(__xludf.DUMMYFUNCTION("arrayformula( if( sum(J217:AN217 + 0), max( len( split( concatenate( left(J217:AN217) ), ""F"" ) ) ), ""0"" ) )"),"0")</f>
        <v>0</v>
      </c>
      <c r="AS217" s="26">
        <v>15.0</v>
      </c>
      <c r="AT217" s="27">
        <f t="shared" si="123"/>
        <v>0</v>
      </c>
    </row>
    <row r="218" hidden="1">
      <c r="A218" s="39"/>
      <c r="B218" s="40"/>
      <c r="C218" s="40"/>
      <c r="D218" s="41"/>
      <c r="E218" s="41"/>
      <c r="F218" s="41"/>
      <c r="G218" s="41"/>
      <c r="H218" s="41"/>
      <c r="I218" s="6"/>
      <c r="J218" s="38" t="b">
        <v>0</v>
      </c>
      <c r="K218" s="38" t="b">
        <v>0</v>
      </c>
      <c r="L218" s="38" t="b">
        <v>0</v>
      </c>
      <c r="M218" s="38" t="b">
        <v>0</v>
      </c>
      <c r="N218" s="38" t="b">
        <v>0</v>
      </c>
      <c r="O218" s="38" t="b">
        <v>0</v>
      </c>
      <c r="P218" s="38" t="b">
        <v>0</v>
      </c>
      <c r="Q218" s="38" t="b">
        <v>0</v>
      </c>
      <c r="R218" s="38" t="b">
        <v>0</v>
      </c>
      <c r="S218" s="38" t="b">
        <v>0</v>
      </c>
      <c r="T218" s="38" t="b">
        <v>0</v>
      </c>
      <c r="U218" s="38" t="b">
        <v>0</v>
      </c>
      <c r="V218" s="38" t="b">
        <v>0</v>
      </c>
      <c r="W218" s="38" t="b">
        <v>0</v>
      </c>
      <c r="X218" s="38" t="b">
        <v>0</v>
      </c>
      <c r="Y218" s="38" t="b">
        <v>0</v>
      </c>
      <c r="Z218" s="38" t="b">
        <v>0</v>
      </c>
      <c r="AA218" s="38" t="b">
        <v>0</v>
      </c>
      <c r="AB218" s="38" t="b">
        <v>0</v>
      </c>
      <c r="AC218" s="38" t="b">
        <v>0</v>
      </c>
      <c r="AD218" s="38" t="b">
        <v>0</v>
      </c>
      <c r="AE218" s="38" t="b">
        <v>0</v>
      </c>
      <c r="AF218" s="38" t="b">
        <v>0</v>
      </c>
      <c r="AG218" s="38" t="b">
        <v>0</v>
      </c>
      <c r="AH218" s="38" t="b">
        <v>0</v>
      </c>
      <c r="AI218" s="38" t="b">
        <v>0</v>
      </c>
      <c r="AJ218" s="38" t="b">
        <v>0</v>
      </c>
      <c r="AK218" s="38" t="b">
        <v>0</v>
      </c>
      <c r="AL218" s="38" t="b">
        <v>0</v>
      </c>
      <c r="AM218" s="38" t="b">
        <v>0</v>
      </c>
      <c r="AN218" s="38" t="b">
        <v>0</v>
      </c>
      <c r="AO218" s="25">
        <f t="shared" si="122"/>
        <v>0</v>
      </c>
      <c r="AQ218" s="25">
        <f>IFERROR(__xludf.DUMMYFUNCTION("if(iserror(match(true,J218:AN218,0)),0,len(index(split(substitute(substitute(join("","",J218:AN218)&amp;"","",""TRUE,"",""x""),""FALSE,"","",""),"",""),,counta(split(substitute(substitute(join("","",J218:AN218)&amp;"","",""TRUE,"",""x""),""FALSE,"","",""),"",""))"&amp;")))"),0.0)</f>
        <v>0</v>
      </c>
      <c r="AR218" s="25" t="str">
        <f>IFERROR(__xludf.DUMMYFUNCTION("arrayformula( if( sum(J218:AN218 + 0), max( len( split( concatenate( left(J218:AN218) ), ""F"" ) ) ), ""0"" ) )"),"0")</f>
        <v>0</v>
      </c>
      <c r="AS218" s="26">
        <v>15.0</v>
      </c>
      <c r="AT218" s="27">
        <f t="shared" si="123"/>
        <v>0</v>
      </c>
    </row>
    <row r="219" hidden="1">
      <c r="A219" s="39"/>
      <c r="B219" s="40"/>
      <c r="C219" s="40"/>
      <c r="D219" s="41"/>
      <c r="E219" s="41"/>
      <c r="F219" s="41"/>
      <c r="G219" s="41"/>
      <c r="H219" s="41"/>
      <c r="I219" s="6"/>
      <c r="J219" s="38" t="b">
        <v>0</v>
      </c>
      <c r="K219" s="38" t="b">
        <v>0</v>
      </c>
      <c r="L219" s="38" t="b">
        <v>0</v>
      </c>
      <c r="M219" s="38" t="b">
        <v>0</v>
      </c>
      <c r="N219" s="38" t="b">
        <v>0</v>
      </c>
      <c r="O219" s="38" t="b">
        <v>0</v>
      </c>
      <c r="P219" s="38" t="b">
        <v>0</v>
      </c>
      <c r="Q219" s="38" t="b">
        <v>0</v>
      </c>
      <c r="R219" s="38" t="b">
        <v>0</v>
      </c>
      <c r="S219" s="38" t="b">
        <v>0</v>
      </c>
      <c r="T219" s="38" t="b">
        <v>0</v>
      </c>
      <c r="U219" s="38" t="b">
        <v>0</v>
      </c>
      <c r="V219" s="38" t="b">
        <v>0</v>
      </c>
      <c r="W219" s="38" t="b">
        <v>0</v>
      </c>
      <c r="X219" s="38" t="b">
        <v>0</v>
      </c>
      <c r="Y219" s="38" t="b">
        <v>0</v>
      </c>
      <c r="Z219" s="38" t="b">
        <v>0</v>
      </c>
      <c r="AA219" s="38" t="b">
        <v>0</v>
      </c>
      <c r="AB219" s="38" t="b">
        <v>0</v>
      </c>
      <c r="AC219" s="38" t="b">
        <v>0</v>
      </c>
      <c r="AD219" s="38" t="b">
        <v>0</v>
      </c>
      <c r="AE219" s="38" t="b">
        <v>0</v>
      </c>
      <c r="AF219" s="38" t="b">
        <v>0</v>
      </c>
      <c r="AG219" s="38" t="b">
        <v>0</v>
      </c>
      <c r="AH219" s="38" t="b">
        <v>0</v>
      </c>
      <c r="AI219" s="38" t="b">
        <v>0</v>
      </c>
      <c r="AJ219" s="38" t="b">
        <v>0</v>
      </c>
      <c r="AK219" s="38" t="b">
        <v>0</v>
      </c>
      <c r="AL219" s="38" t="b">
        <v>0</v>
      </c>
      <c r="AM219" s="38" t="b">
        <v>0</v>
      </c>
      <c r="AN219" s="38" t="b">
        <v>0</v>
      </c>
      <c r="AO219" s="25">
        <f t="shared" si="122"/>
        <v>0</v>
      </c>
      <c r="AQ219" s="25">
        <f>IFERROR(__xludf.DUMMYFUNCTION("if(iserror(match(true,J219:AN219,0)),0,len(index(split(substitute(substitute(join("","",J219:AN219)&amp;"","",""TRUE,"",""x""),""FALSE,"","",""),"",""),,counta(split(substitute(substitute(join("","",J219:AN219)&amp;"","",""TRUE,"",""x""),""FALSE,"","",""),"",""))"&amp;")))"),0.0)</f>
        <v>0</v>
      </c>
      <c r="AR219" s="25" t="str">
        <f>IFERROR(__xludf.DUMMYFUNCTION("arrayformula( if( sum(J219:AN219 + 0), max( len( split( concatenate( left(J219:AN219) ), ""F"" ) ) ), ""0"" ) )"),"0")</f>
        <v>0</v>
      </c>
      <c r="AS219" s="26">
        <v>15.0</v>
      </c>
      <c r="AT219" s="27">
        <f t="shared" si="123"/>
        <v>0</v>
      </c>
    </row>
    <row r="220" hidden="1">
      <c r="A220" s="39"/>
      <c r="B220" s="40"/>
      <c r="C220" s="40"/>
      <c r="D220" s="41"/>
      <c r="E220" s="41"/>
      <c r="F220" s="41"/>
      <c r="G220" s="41"/>
      <c r="H220" s="41"/>
      <c r="I220" s="6"/>
      <c r="J220" s="38" t="b">
        <v>0</v>
      </c>
      <c r="K220" s="38" t="b">
        <v>0</v>
      </c>
      <c r="L220" s="38" t="b">
        <v>0</v>
      </c>
      <c r="M220" s="38" t="b">
        <v>0</v>
      </c>
      <c r="N220" s="38" t="b">
        <v>0</v>
      </c>
      <c r="O220" s="38" t="b">
        <v>0</v>
      </c>
      <c r="P220" s="38" t="b">
        <v>0</v>
      </c>
      <c r="Q220" s="38" t="b">
        <v>0</v>
      </c>
      <c r="R220" s="38" t="b">
        <v>0</v>
      </c>
      <c r="S220" s="38" t="b">
        <v>0</v>
      </c>
      <c r="T220" s="38" t="b">
        <v>0</v>
      </c>
      <c r="U220" s="38" t="b">
        <v>0</v>
      </c>
      <c r="V220" s="38" t="b">
        <v>0</v>
      </c>
      <c r="W220" s="38" t="b">
        <v>0</v>
      </c>
      <c r="X220" s="38" t="b">
        <v>0</v>
      </c>
      <c r="Y220" s="38" t="b">
        <v>0</v>
      </c>
      <c r="Z220" s="38" t="b">
        <v>0</v>
      </c>
      <c r="AA220" s="38" t="b">
        <v>0</v>
      </c>
      <c r="AB220" s="38" t="b">
        <v>0</v>
      </c>
      <c r="AC220" s="38" t="b">
        <v>0</v>
      </c>
      <c r="AD220" s="38" t="b">
        <v>0</v>
      </c>
      <c r="AE220" s="38" t="b">
        <v>0</v>
      </c>
      <c r="AF220" s="38" t="b">
        <v>0</v>
      </c>
      <c r="AG220" s="38" t="b">
        <v>0</v>
      </c>
      <c r="AH220" s="38" t="b">
        <v>0</v>
      </c>
      <c r="AI220" s="38" t="b">
        <v>0</v>
      </c>
      <c r="AJ220" s="38" t="b">
        <v>0</v>
      </c>
      <c r="AK220" s="38" t="b">
        <v>0</v>
      </c>
      <c r="AL220" s="38" t="b">
        <v>0</v>
      </c>
      <c r="AM220" s="38" t="b">
        <v>0</v>
      </c>
      <c r="AN220" s="38" t="b">
        <v>0</v>
      </c>
      <c r="AO220" s="25">
        <f t="shared" si="122"/>
        <v>0</v>
      </c>
      <c r="AQ220" s="25">
        <f>IFERROR(__xludf.DUMMYFUNCTION("if(iserror(match(true,J220:AN220,0)),0,len(index(split(substitute(substitute(join("","",J220:AN220)&amp;"","",""TRUE,"",""x""),""FALSE,"","",""),"",""),,counta(split(substitute(substitute(join("","",J220:AN220)&amp;"","",""TRUE,"",""x""),""FALSE,"","",""),"",""))"&amp;")))"),0.0)</f>
        <v>0</v>
      </c>
      <c r="AR220" s="25" t="str">
        <f>IFERROR(__xludf.DUMMYFUNCTION("arrayformula( if( sum(J220:AN220 + 0), max( len( split( concatenate( left(J220:AN220) ), ""F"" ) ) ), ""0"" ) )"),"0")</f>
        <v>0</v>
      </c>
      <c r="AS220" s="26">
        <v>15.0</v>
      </c>
      <c r="AT220" s="27">
        <f t="shared" si="123"/>
        <v>0</v>
      </c>
    </row>
    <row r="221" hidden="1">
      <c r="A221" s="39"/>
      <c r="B221" s="40"/>
      <c r="C221" s="40"/>
      <c r="D221" s="41"/>
      <c r="E221" s="41"/>
      <c r="F221" s="41"/>
      <c r="G221" s="41"/>
      <c r="H221" s="41"/>
      <c r="I221" s="6"/>
      <c r="J221" s="38" t="b">
        <v>0</v>
      </c>
      <c r="K221" s="38" t="b">
        <v>0</v>
      </c>
      <c r="L221" s="38" t="b">
        <v>0</v>
      </c>
      <c r="M221" s="38" t="b">
        <v>0</v>
      </c>
      <c r="N221" s="38" t="b">
        <v>0</v>
      </c>
      <c r="O221" s="38" t="b">
        <v>0</v>
      </c>
      <c r="P221" s="38" t="b">
        <v>0</v>
      </c>
      <c r="Q221" s="38" t="b">
        <v>0</v>
      </c>
      <c r="R221" s="38" t="b">
        <v>0</v>
      </c>
      <c r="S221" s="38" t="b">
        <v>0</v>
      </c>
      <c r="T221" s="38" t="b">
        <v>0</v>
      </c>
      <c r="U221" s="38" t="b">
        <v>0</v>
      </c>
      <c r="V221" s="38" t="b">
        <v>0</v>
      </c>
      <c r="W221" s="38" t="b">
        <v>0</v>
      </c>
      <c r="X221" s="38" t="b">
        <v>0</v>
      </c>
      <c r="Y221" s="38" t="b">
        <v>0</v>
      </c>
      <c r="Z221" s="38" t="b">
        <v>0</v>
      </c>
      <c r="AA221" s="38" t="b">
        <v>0</v>
      </c>
      <c r="AB221" s="38" t="b">
        <v>0</v>
      </c>
      <c r="AC221" s="38" t="b">
        <v>0</v>
      </c>
      <c r="AD221" s="38" t="b">
        <v>0</v>
      </c>
      <c r="AE221" s="38" t="b">
        <v>0</v>
      </c>
      <c r="AF221" s="38" t="b">
        <v>0</v>
      </c>
      <c r="AG221" s="38" t="b">
        <v>0</v>
      </c>
      <c r="AH221" s="38" t="b">
        <v>0</v>
      </c>
      <c r="AI221" s="38" t="b">
        <v>0</v>
      </c>
      <c r="AJ221" s="38" t="b">
        <v>0</v>
      </c>
      <c r="AK221" s="38" t="b">
        <v>0</v>
      </c>
      <c r="AL221" s="38" t="b">
        <v>0</v>
      </c>
      <c r="AM221" s="38" t="b">
        <v>0</v>
      </c>
      <c r="AN221" s="38" t="b">
        <v>0</v>
      </c>
      <c r="AO221" s="25">
        <f t="shared" si="122"/>
        <v>0</v>
      </c>
      <c r="AQ221" s="25">
        <f>IFERROR(__xludf.DUMMYFUNCTION("if(iserror(match(true,J221:AN221,0)),0,len(index(split(substitute(substitute(join("","",J221:AN221)&amp;"","",""TRUE,"",""x""),""FALSE,"","",""),"",""),,counta(split(substitute(substitute(join("","",J221:AN221)&amp;"","",""TRUE,"",""x""),""FALSE,"","",""),"",""))"&amp;")))"),0.0)</f>
        <v>0</v>
      </c>
      <c r="AR221" s="25" t="str">
        <f>IFERROR(__xludf.DUMMYFUNCTION("arrayformula( if( sum(J221:AN221 + 0), max( len( split( concatenate( left(J221:AN221) ), ""F"" ) ) ), ""0"" ) )"),"0")</f>
        <v>0</v>
      </c>
      <c r="AS221" s="26">
        <v>15.0</v>
      </c>
      <c r="AT221" s="27">
        <f t="shared" si="123"/>
        <v>0</v>
      </c>
    </row>
    <row r="222" hidden="1">
      <c r="A222" s="39"/>
      <c r="B222" s="40"/>
      <c r="C222" s="40"/>
      <c r="D222" s="41"/>
      <c r="E222" s="41"/>
      <c r="F222" s="41"/>
      <c r="G222" s="41"/>
      <c r="H222" s="41"/>
      <c r="I222" s="6"/>
      <c r="J222" s="38" t="b">
        <v>0</v>
      </c>
      <c r="K222" s="38" t="b">
        <v>0</v>
      </c>
      <c r="L222" s="38" t="b">
        <v>0</v>
      </c>
      <c r="M222" s="38" t="b">
        <v>0</v>
      </c>
      <c r="N222" s="38" t="b">
        <v>0</v>
      </c>
      <c r="O222" s="38" t="b">
        <v>0</v>
      </c>
      <c r="P222" s="38" t="b">
        <v>0</v>
      </c>
      <c r="Q222" s="38" t="b">
        <v>0</v>
      </c>
      <c r="R222" s="38" t="b">
        <v>0</v>
      </c>
      <c r="S222" s="38" t="b">
        <v>0</v>
      </c>
      <c r="T222" s="38" t="b">
        <v>0</v>
      </c>
      <c r="U222" s="38" t="b">
        <v>0</v>
      </c>
      <c r="V222" s="38" t="b">
        <v>0</v>
      </c>
      <c r="W222" s="38" t="b">
        <v>0</v>
      </c>
      <c r="X222" s="38" t="b">
        <v>0</v>
      </c>
      <c r="Y222" s="38" t="b">
        <v>0</v>
      </c>
      <c r="Z222" s="38" t="b">
        <v>0</v>
      </c>
      <c r="AA222" s="38" t="b">
        <v>0</v>
      </c>
      <c r="AB222" s="38" t="b">
        <v>0</v>
      </c>
      <c r="AC222" s="38" t="b">
        <v>0</v>
      </c>
      <c r="AD222" s="38" t="b">
        <v>0</v>
      </c>
      <c r="AE222" s="38" t="b">
        <v>0</v>
      </c>
      <c r="AF222" s="38" t="b">
        <v>0</v>
      </c>
      <c r="AG222" s="38" t="b">
        <v>0</v>
      </c>
      <c r="AH222" s="38" t="b">
        <v>0</v>
      </c>
      <c r="AI222" s="38" t="b">
        <v>0</v>
      </c>
      <c r="AJ222" s="38" t="b">
        <v>0</v>
      </c>
      <c r="AK222" s="38" t="b">
        <v>0</v>
      </c>
      <c r="AL222" s="38" t="b">
        <v>0</v>
      </c>
      <c r="AM222" s="38" t="b">
        <v>0</v>
      </c>
      <c r="AN222" s="38" t="b">
        <v>0</v>
      </c>
      <c r="AO222" s="25">
        <f t="shared" si="122"/>
        <v>0</v>
      </c>
      <c r="AQ222" s="25">
        <f>IFERROR(__xludf.DUMMYFUNCTION("if(iserror(match(true,J222:AN222,0)),0,len(index(split(substitute(substitute(join("","",J222:AN222)&amp;"","",""TRUE,"",""x""),""FALSE,"","",""),"",""),,counta(split(substitute(substitute(join("","",J222:AN222)&amp;"","",""TRUE,"",""x""),""FALSE,"","",""),"",""))"&amp;")))"),0.0)</f>
        <v>0</v>
      </c>
      <c r="AR222" s="25" t="str">
        <f>IFERROR(__xludf.DUMMYFUNCTION("arrayformula( if( sum(J222:AN222 + 0), max( len( split( concatenate( left(J222:AN222) ), ""F"" ) ) ), ""0"" ) )"),"0")</f>
        <v>0</v>
      </c>
      <c r="AS222" s="26">
        <v>15.0</v>
      </c>
      <c r="AT222" s="27">
        <f t="shared" si="123"/>
        <v>0</v>
      </c>
    </row>
    <row r="223" hidden="1">
      <c r="A223" s="39"/>
      <c r="B223" s="40"/>
      <c r="C223" s="40"/>
      <c r="D223" s="41"/>
      <c r="E223" s="41"/>
      <c r="F223" s="41"/>
      <c r="G223" s="41"/>
      <c r="H223" s="41"/>
      <c r="I223" s="6"/>
      <c r="J223" s="38" t="b">
        <v>0</v>
      </c>
      <c r="K223" s="38" t="b">
        <v>0</v>
      </c>
      <c r="L223" s="38" t="b">
        <v>0</v>
      </c>
      <c r="M223" s="38" t="b">
        <v>0</v>
      </c>
      <c r="N223" s="38" t="b">
        <v>0</v>
      </c>
      <c r="O223" s="38" t="b">
        <v>0</v>
      </c>
      <c r="P223" s="38" t="b">
        <v>0</v>
      </c>
      <c r="Q223" s="38" t="b">
        <v>0</v>
      </c>
      <c r="R223" s="38" t="b">
        <v>0</v>
      </c>
      <c r="S223" s="38" t="b">
        <v>0</v>
      </c>
      <c r="T223" s="38" t="b">
        <v>0</v>
      </c>
      <c r="U223" s="38" t="b">
        <v>0</v>
      </c>
      <c r="V223" s="38" t="b">
        <v>0</v>
      </c>
      <c r="W223" s="38" t="b">
        <v>0</v>
      </c>
      <c r="X223" s="38" t="b">
        <v>0</v>
      </c>
      <c r="Y223" s="38" t="b">
        <v>0</v>
      </c>
      <c r="Z223" s="38" t="b">
        <v>0</v>
      </c>
      <c r="AA223" s="38" t="b">
        <v>0</v>
      </c>
      <c r="AB223" s="38" t="b">
        <v>0</v>
      </c>
      <c r="AC223" s="38" t="b">
        <v>0</v>
      </c>
      <c r="AD223" s="38" t="b">
        <v>0</v>
      </c>
      <c r="AE223" s="38" t="b">
        <v>0</v>
      </c>
      <c r="AF223" s="38" t="b">
        <v>0</v>
      </c>
      <c r="AG223" s="38" t="b">
        <v>0</v>
      </c>
      <c r="AH223" s="38" t="b">
        <v>0</v>
      </c>
      <c r="AI223" s="38" t="b">
        <v>0</v>
      </c>
      <c r="AJ223" s="38" t="b">
        <v>0</v>
      </c>
      <c r="AK223" s="38" t="b">
        <v>0</v>
      </c>
      <c r="AL223" s="38" t="b">
        <v>0</v>
      </c>
      <c r="AM223" s="38" t="b">
        <v>0</v>
      </c>
      <c r="AN223" s="38" t="b">
        <v>0</v>
      </c>
      <c r="AO223" s="25">
        <f t="shared" si="122"/>
        <v>0</v>
      </c>
      <c r="AQ223" s="25">
        <f>IFERROR(__xludf.DUMMYFUNCTION("if(iserror(match(true,J223:AN223,0)),0,len(index(split(substitute(substitute(join("","",J223:AN223)&amp;"","",""TRUE,"",""x""),""FALSE,"","",""),"",""),,counta(split(substitute(substitute(join("","",J223:AN223)&amp;"","",""TRUE,"",""x""),""FALSE,"","",""),"",""))"&amp;")))"),0.0)</f>
        <v>0</v>
      </c>
      <c r="AR223" s="25" t="str">
        <f>IFERROR(__xludf.DUMMYFUNCTION("arrayformula( if( sum(J223:AN223 + 0), max( len( split( concatenate( left(J223:AN223) ), ""F"" ) ) ), ""0"" ) )"),"0")</f>
        <v>0</v>
      </c>
      <c r="AS223" s="26">
        <v>15.0</v>
      </c>
      <c r="AT223" s="27">
        <f t="shared" si="123"/>
        <v>0</v>
      </c>
    </row>
    <row r="224" hidden="1">
      <c r="A224" s="39"/>
      <c r="B224" s="40"/>
      <c r="C224" s="40"/>
      <c r="D224" s="41"/>
      <c r="E224" s="41"/>
      <c r="F224" s="41"/>
      <c r="G224" s="41"/>
      <c r="H224" s="41"/>
      <c r="I224" s="6"/>
      <c r="J224" s="38" t="b">
        <v>0</v>
      </c>
      <c r="K224" s="38" t="b">
        <v>0</v>
      </c>
      <c r="L224" s="38" t="b">
        <v>0</v>
      </c>
      <c r="M224" s="38" t="b">
        <v>0</v>
      </c>
      <c r="N224" s="38" t="b">
        <v>0</v>
      </c>
      <c r="O224" s="38" t="b">
        <v>0</v>
      </c>
      <c r="P224" s="38" t="b">
        <v>0</v>
      </c>
      <c r="Q224" s="38" t="b">
        <v>0</v>
      </c>
      <c r="R224" s="38" t="b">
        <v>0</v>
      </c>
      <c r="S224" s="38" t="b">
        <v>0</v>
      </c>
      <c r="T224" s="38" t="b">
        <v>0</v>
      </c>
      <c r="U224" s="38" t="b">
        <v>0</v>
      </c>
      <c r="V224" s="38" t="b">
        <v>0</v>
      </c>
      <c r="W224" s="38" t="b">
        <v>0</v>
      </c>
      <c r="X224" s="38" t="b">
        <v>0</v>
      </c>
      <c r="Y224" s="38" t="b">
        <v>0</v>
      </c>
      <c r="Z224" s="38" t="b">
        <v>0</v>
      </c>
      <c r="AA224" s="38" t="b">
        <v>0</v>
      </c>
      <c r="AB224" s="38" t="b">
        <v>0</v>
      </c>
      <c r="AC224" s="38" t="b">
        <v>0</v>
      </c>
      <c r="AD224" s="38" t="b">
        <v>0</v>
      </c>
      <c r="AE224" s="38" t="b">
        <v>0</v>
      </c>
      <c r="AF224" s="38" t="b">
        <v>0</v>
      </c>
      <c r="AG224" s="38" t="b">
        <v>0</v>
      </c>
      <c r="AH224" s="38" t="b">
        <v>0</v>
      </c>
      <c r="AI224" s="38" t="b">
        <v>0</v>
      </c>
      <c r="AJ224" s="38" t="b">
        <v>0</v>
      </c>
      <c r="AK224" s="38" t="b">
        <v>0</v>
      </c>
      <c r="AL224" s="38" t="b">
        <v>0</v>
      </c>
      <c r="AM224" s="38" t="b">
        <v>0</v>
      </c>
      <c r="AN224" s="38" t="b">
        <v>0</v>
      </c>
      <c r="AO224" s="25">
        <f t="shared" si="122"/>
        <v>0</v>
      </c>
      <c r="AQ224" s="25">
        <f>IFERROR(__xludf.DUMMYFUNCTION("if(iserror(match(true,J224:AN224,0)),0,len(index(split(substitute(substitute(join("","",J224:AN224)&amp;"","",""TRUE,"",""x""),""FALSE,"","",""),"",""),,counta(split(substitute(substitute(join("","",J224:AN224)&amp;"","",""TRUE,"",""x""),""FALSE,"","",""),"",""))"&amp;")))"),0.0)</f>
        <v>0</v>
      </c>
      <c r="AR224" s="25" t="str">
        <f>IFERROR(__xludf.DUMMYFUNCTION("arrayformula( if( sum(J224:AN224 + 0), max( len( split( concatenate( left(J224:AN224) ), ""F"" ) ) ), ""0"" ) )"),"0")</f>
        <v>0</v>
      </c>
      <c r="AS224" s="26">
        <v>15.0</v>
      </c>
      <c r="AT224" s="27">
        <f t="shared" si="123"/>
        <v>0</v>
      </c>
    </row>
    <row r="225" hidden="1">
      <c r="A225" s="39"/>
      <c r="B225" s="40"/>
      <c r="C225" s="40"/>
      <c r="D225" s="41"/>
      <c r="E225" s="41"/>
      <c r="F225" s="41"/>
      <c r="G225" s="41"/>
      <c r="H225" s="41"/>
      <c r="I225" s="6"/>
      <c r="J225" s="38" t="b">
        <v>0</v>
      </c>
      <c r="K225" s="38" t="b">
        <v>0</v>
      </c>
      <c r="L225" s="38" t="b">
        <v>0</v>
      </c>
      <c r="M225" s="38" t="b">
        <v>0</v>
      </c>
      <c r="N225" s="38" t="b">
        <v>0</v>
      </c>
      <c r="O225" s="38" t="b">
        <v>0</v>
      </c>
      <c r="P225" s="38" t="b">
        <v>0</v>
      </c>
      <c r="Q225" s="38" t="b">
        <v>0</v>
      </c>
      <c r="R225" s="38" t="b">
        <v>0</v>
      </c>
      <c r="S225" s="38" t="b">
        <v>0</v>
      </c>
      <c r="T225" s="38" t="b">
        <v>0</v>
      </c>
      <c r="U225" s="38" t="b">
        <v>0</v>
      </c>
      <c r="V225" s="38" t="b">
        <v>0</v>
      </c>
      <c r="W225" s="38" t="b">
        <v>0</v>
      </c>
      <c r="X225" s="38" t="b">
        <v>0</v>
      </c>
      <c r="Y225" s="38" t="b">
        <v>0</v>
      </c>
      <c r="Z225" s="38" t="b">
        <v>0</v>
      </c>
      <c r="AA225" s="38" t="b">
        <v>0</v>
      </c>
      <c r="AB225" s="38" t="b">
        <v>0</v>
      </c>
      <c r="AC225" s="38" t="b">
        <v>0</v>
      </c>
      <c r="AD225" s="38" t="b">
        <v>0</v>
      </c>
      <c r="AE225" s="38" t="b">
        <v>0</v>
      </c>
      <c r="AF225" s="38" t="b">
        <v>0</v>
      </c>
      <c r="AG225" s="38" t="b">
        <v>0</v>
      </c>
      <c r="AH225" s="38" t="b">
        <v>0</v>
      </c>
      <c r="AI225" s="38" t="b">
        <v>0</v>
      </c>
      <c r="AJ225" s="38" t="b">
        <v>0</v>
      </c>
      <c r="AK225" s="38" t="b">
        <v>0</v>
      </c>
      <c r="AL225" s="38" t="b">
        <v>0</v>
      </c>
      <c r="AM225" s="38" t="b">
        <v>0</v>
      </c>
      <c r="AN225" s="38" t="b">
        <v>0</v>
      </c>
      <c r="AO225" s="25">
        <f t="shared" si="122"/>
        <v>0</v>
      </c>
      <c r="AQ225" s="25">
        <f>IFERROR(__xludf.DUMMYFUNCTION("if(iserror(match(true,J225:AN225,0)),0,len(index(split(substitute(substitute(join("","",J225:AN225)&amp;"","",""TRUE,"",""x""),""FALSE,"","",""),"",""),,counta(split(substitute(substitute(join("","",J225:AN225)&amp;"","",""TRUE,"",""x""),""FALSE,"","",""),"",""))"&amp;")))"),0.0)</f>
        <v>0</v>
      </c>
      <c r="AR225" s="25" t="str">
        <f>IFERROR(__xludf.DUMMYFUNCTION("arrayformula( if( sum(J225:AN225 + 0), max( len( split( concatenate( left(J225:AN225) ), ""F"" ) ) ), ""0"" ) )"),"0")</f>
        <v>0</v>
      </c>
      <c r="AS225" s="26">
        <v>15.0</v>
      </c>
      <c r="AT225" s="27">
        <f t="shared" si="123"/>
        <v>0</v>
      </c>
    </row>
    <row r="226" hidden="1">
      <c r="A226" s="39"/>
      <c r="B226" s="40"/>
      <c r="C226" s="40"/>
      <c r="D226" s="41"/>
      <c r="E226" s="41"/>
      <c r="F226" s="41"/>
      <c r="G226" s="41"/>
      <c r="H226" s="41"/>
      <c r="I226" s="6"/>
      <c r="J226" s="38" t="b">
        <v>0</v>
      </c>
      <c r="K226" s="38" t="b">
        <v>0</v>
      </c>
      <c r="L226" s="38" t="b">
        <v>0</v>
      </c>
      <c r="M226" s="38" t="b">
        <v>0</v>
      </c>
      <c r="N226" s="38" t="b">
        <v>0</v>
      </c>
      <c r="O226" s="38" t="b">
        <v>0</v>
      </c>
      <c r="P226" s="38" t="b">
        <v>0</v>
      </c>
      <c r="Q226" s="38" t="b">
        <v>0</v>
      </c>
      <c r="R226" s="38" t="b">
        <v>0</v>
      </c>
      <c r="S226" s="38" t="b">
        <v>0</v>
      </c>
      <c r="T226" s="38" t="b">
        <v>0</v>
      </c>
      <c r="U226" s="38" t="b">
        <v>0</v>
      </c>
      <c r="V226" s="38" t="b">
        <v>0</v>
      </c>
      <c r="W226" s="38" t="b">
        <v>0</v>
      </c>
      <c r="X226" s="38" t="b">
        <v>0</v>
      </c>
      <c r="Y226" s="38" t="b">
        <v>0</v>
      </c>
      <c r="Z226" s="38" t="b">
        <v>0</v>
      </c>
      <c r="AA226" s="38" t="b">
        <v>0</v>
      </c>
      <c r="AB226" s="38" t="b">
        <v>0</v>
      </c>
      <c r="AC226" s="38" t="b">
        <v>0</v>
      </c>
      <c r="AD226" s="38" t="b">
        <v>0</v>
      </c>
      <c r="AE226" s="38" t="b">
        <v>0</v>
      </c>
      <c r="AF226" s="38" t="b">
        <v>0</v>
      </c>
      <c r="AG226" s="38" t="b">
        <v>0</v>
      </c>
      <c r="AH226" s="38" t="b">
        <v>0</v>
      </c>
      <c r="AI226" s="38" t="b">
        <v>0</v>
      </c>
      <c r="AJ226" s="38" t="b">
        <v>0</v>
      </c>
      <c r="AK226" s="38" t="b">
        <v>0</v>
      </c>
      <c r="AL226" s="38" t="b">
        <v>0</v>
      </c>
      <c r="AM226" s="38" t="b">
        <v>0</v>
      </c>
      <c r="AN226" s="38" t="b">
        <v>0</v>
      </c>
      <c r="AO226" s="25">
        <f t="shared" si="122"/>
        <v>0</v>
      </c>
      <c r="AQ226" s="25">
        <f>IFERROR(__xludf.DUMMYFUNCTION("if(iserror(match(true,J226:AN226,0)),0,len(index(split(substitute(substitute(join("","",J226:AN226)&amp;"","",""TRUE,"",""x""),""FALSE,"","",""),"",""),,counta(split(substitute(substitute(join("","",J226:AN226)&amp;"","",""TRUE,"",""x""),""FALSE,"","",""),"",""))"&amp;")))"),0.0)</f>
        <v>0</v>
      </c>
      <c r="AR226" s="25" t="str">
        <f>IFERROR(__xludf.DUMMYFUNCTION("arrayformula( if( sum(J226:AN226 + 0), max( len( split( concatenate( left(J226:AN226) ), ""F"" ) ) ), ""0"" ) )"),"0")</f>
        <v>0</v>
      </c>
      <c r="AS226" s="26">
        <v>15.0</v>
      </c>
      <c r="AT226" s="27">
        <f t="shared" si="123"/>
        <v>0</v>
      </c>
    </row>
    <row r="227" hidden="1">
      <c r="A227" s="39"/>
      <c r="B227" s="40"/>
      <c r="C227" s="40"/>
      <c r="D227" s="41"/>
      <c r="E227" s="41"/>
      <c r="F227" s="41"/>
      <c r="G227" s="41"/>
      <c r="H227" s="41"/>
      <c r="I227" s="6"/>
      <c r="J227" s="38" t="b">
        <v>0</v>
      </c>
      <c r="K227" s="38" t="b">
        <v>0</v>
      </c>
      <c r="L227" s="38" t="b">
        <v>0</v>
      </c>
      <c r="M227" s="38" t="b">
        <v>0</v>
      </c>
      <c r="N227" s="38" t="b">
        <v>0</v>
      </c>
      <c r="O227" s="38" t="b">
        <v>0</v>
      </c>
      <c r="P227" s="38" t="b">
        <v>0</v>
      </c>
      <c r="Q227" s="38" t="b">
        <v>0</v>
      </c>
      <c r="R227" s="38" t="b">
        <v>0</v>
      </c>
      <c r="S227" s="38" t="b">
        <v>0</v>
      </c>
      <c r="T227" s="38" t="b">
        <v>0</v>
      </c>
      <c r="U227" s="38" t="b">
        <v>0</v>
      </c>
      <c r="V227" s="38" t="b">
        <v>0</v>
      </c>
      <c r="W227" s="38" t="b">
        <v>0</v>
      </c>
      <c r="X227" s="38" t="b">
        <v>0</v>
      </c>
      <c r="Y227" s="38" t="b">
        <v>0</v>
      </c>
      <c r="Z227" s="38" t="b">
        <v>0</v>
      </c>
      <c r="AA227" s="38" t="b">
        <v>0</v>
      </c>
      <c r="AB227" s="38" t="b">
        <v>0</v>
      </c>
      <c r="AC227" s="38" t="b">
        <v>0</v>
      </c>
      <c r="AD227" s="38" t="b">
        <v>0</v>
      </c>
      <c r="AE227" s="38" t="b">
        <v>0</v>
      </c>
      <c r="AF227" s="38" t="b">
        <v>0</v>
      </c>
      <c r="AG227" s="38" t="b">
        <v>0</v>
      </c>
      <c r="AH227" s="38" t="b">
        <v>0</v>
      </c>
      <c r="AI227" s="38" t="b">
        <v>0</v>
      </c>
      <c r="AJ227" s="38" t="b">
        <v>0</v>
      </c>
      <c r="AK227" s="38" t="b">
        <v>0</v>
      </c>
      <c r="AL227" s="38" t="b">
        <v>0</v>
      </c>
      <c r="AM227" s="38" t="b">
        <v>0</v>
      </c>
      <c r="AN227" s="38" t="b">
        <v>0</v>
      </c>
      <c r="AO227" s="25">
        <f t="shared" si="122"/>
        <v>0</v>
      </c>
      <c r="AQ227" s="25">
        <f>IFERROR(__xludf.DUMMYFUNCTION("if(iserror(match(true,J227:AN227,0)),0,len(index(split(substitute(substitute(join("","",J227:AN227)&amp;"","",""TRUE,"",""x""),""FALSE,"","",""),"",""),,counta(split(substitute(substitute(join("","",J227:AN227)&amp;"","",""TRUE,"",""x""),""FALSE,"","",""),"",""))"&amp;")))"),0.0)</f>
        <v>0</v>
      </c>
      <c r="AR227" s="25" t="str">
        <f>IFERROR(__xludf.DUMMYFUNCTION("arrayformula( if( sum(J227:AN227 + 0), max( len( split( concatenate( left(J227:AN227) ), ""F"" ) ) ), ""0"" ) )"),"0")</f>
        <v>0</v>
      </c>
      <c r="AS227" s="26">
        <v>15.0</v>
      </c>
      <c r="AT227" s="27">
        <f t="shared" si="123"/>
        <v>0</v>
      </c>
    </row>
    <row r="228" hidden="1">
      <c r="A228" s="39"/>
      <c r="B228" s="40"/>
      <c r="C228" s="40"/>
      <c r="D228" s="41"/>
      <c r="E228" s="41"/>
      <c r="F228" s="41"/>
      <c r="G228" s="41"/>
      <c r="H228" s="41"/>
      <c r="I228" s="6"/>
      <c r="J228" s="38" t="b">
        <v>0</v>
      </c>
      <c r="K228" s="38" t="b">
        <v>0</v>
      </c>
      <c r="L228" s="38" t="b">
        <v>0</v>
      </c>
      <c r="M228" s="38" t="b">
        <v>0</v>
      </c>
      <c r="N228" s="38" t="b">
        <v>0</v>
      </c>
      <c r="O228" s="38" t="b">
        <v>0</v>
      </c>
      <c r="P228" s="38" t="b">
        <v>0</v>
      </c>
      <c r="Q228" s="38" t="b">
        <v>0</v>
      </c>
      <c r="R228" s="38" t="b">
        <v>0</v>
      </c>
      <c r="S228" s="38" t="b">
        <v>0</v>
      </c>
      <c r="T228" s="38" t="b">
        <v>0</v>
      </c>
      <c r="U228" s="38" t="b">
        <v>0</v>
      </c>
      <c r="V228" s="38" t="b">
        <v>0</v>
      </c>
      <c r="W228" s="38" t="b">
        <v>0</v>
      </c>
      <c r="X228" s="38" t="b">
        <v>0</v>
      </c>
      <c r="Y228" s="38" t="b">
        <v>0</v>
      </c>
      <c r="Z228" s="38" t="b">
        <v>0</v>
      </c>
      <c r="AA228" s="38" t="b">
        <v>0</v>
      </c>
      <c r="AB228" s="38" t="b">
        <v>0</v>
      </c>
      <c r="AC228" s="38" t="b">
        <v>0</v>
      </c>
      <c r="AD228" s="38" t="b">
        <v>0</v>
      </c>
      <c r="AE228" s="38" t="b">
        <v>0</v>
      </c>
      <c r="AF228" s="38" t="b">
        <v>0</v>
      </c>
      <c r="AG228" s="38" t="b">
        <v>0</v>
      </c>
      <c r="AH228" s="38" t="b">
        <v>0</v>
      </c>
      <c r="AI228" s="38" t="b">
        <v>0</v>
      </c>
      <c r="AJ228" s="38" t="b">
        <v>0</v>
      </c>
      <c r="AK228" s="38" t="b">
        <v>0</v>
      </c>
      <c r="AL228" s="38" t="b">
        <v>0</v>
      </c>
      <c r="AM228" s="38" t="b">
        <v>0</v>
      </c>
      <c r="AN228" s="38" t="b">
        <v>0</v>
      </c>
      <c r="AO228" s="25">
        <f t="shared" si="122"/>
        <v>0</v>
      </c>
      <c r="AQ228" s="25">
        <f>IFERROR(__xludf.DUMMYFUNCTION("if(iserror(match(true,J228:AN228,0)),0,len(index(split(substitute(substitute(join("","",J228:AN228)&amp;"","",""TRUE,"",""x""),""FALSE,"","",""),"",""),,counta(split(substitute(substitute(join("","",J228:AN228)&amp;"","",""TRUE,"",""x""),""FALSE,"","",""),"",""))"&amp;")))"),0.0)</f>
        <v>0</v>
      </c>
      <c r="AR228" s="25" t="str">
        <f>IFERROR(__xludf.DUMMYFUNCTION("arrayformula( if( sum(J228:AN228 + 0), max( len( split( concatenate( left(J228:AN228) ), ""F"" ) ) ), ""0"" ) )"),"0")</f>
        <v>0</v>
      </c>
      <c r="AS228" s="26">
        <v>15.0</v>
      </c>
      <c r="AT228" s="27">
        <f t="shared" si="123"/>
        <v>0</v>
      </c>
    </row>
    <row r="229" hidden="1">
      <c r="A229" s="39"/>
      <c r="B229" s="40"/>
      <c r="C229" s="40"/>
      <c r="D229" s="41"/>
      <c r="E229" s="41"/>
      <c r="F229" s="41"/>
      <c r="G229" s="41"/>
      <c r="H229" s="41"/>
      <c r="I229" s="6"/>
      <c r="J229" s="38" t="b">
        <v>0</v>
      </c>
      <c r="K229" s="38" t="b">
        <v>0</v>
      </c>
      <c r="L229" s="38" t="b">
        <v>0</v>
      </c>
      <c r="M229" s="38" t="b">
        <v>0</v>
      </c>
      <c r="N229" s="38" t="b">
        <v>0</v>
      </c>
      <c r="O229" s="38" t="b">
        <v>0</v>
      </c>
      <c r="P229" s="38" t="b">
        <v>0</v>
      </c>
      <c r="Q229" s="38" t="b">
        <v>0</v>
      </c>
      <c r="R229" s="38" t="b">
        <v>0</v>
      </c>
      <c r="S229" s="38" t="b">
        <v>0</v>
      </c>
      <c r="T229" s="38" t="b">
        <v>0</v>
      </c>
      <c r="U229" s="38" t="b">
        <v>0</v>
      </c>
      <c r="V229" s="38" t="b">
        <v>0</v>
      </c>
      <c r="W229" s="38" t="b">
        <v>0</v>
      </c>
      <c r="X229" s="38" t="b">
        <v>0</v>
      </c>
      <c r="Y229" s="38" t="b">
        <v>0</v>
      </c>
      <c r="Z229" s="38" t="b">
        <v>0</v>
      </c>
      <c r="AA229" s="38" t="b">
        <v>0</v>
      </c>
      <c r="AB229" s="38" t="b">
        <v>0</v>
      </c>
      <c r="AC229" s="38" t="b">
        <v>0</v>
      </c>
      <c r="AD229" s="38" t="b">
        <v>0</v>
      </c>
      <c r="AE229" s="38" t="b">
        <v>0</v>
      </c>
      <c r="AF229" s="38" t="b">
        <v>0</v>
      </c>
      <c r="AG229" s="38" t="b">
        <v>0</v>
      </c>
      <c r="AH229" s="38" t="b">
        <v>0</v>
      </c>
      <c r="AI229" s="38" t="b">
        <v>0</v>
      </c>
      <c r="AJ229" s="38" t="b">
        <v>0</v>
      </c>
      <c r="AK229" s="38" t="b">
        <v>0</v>
      </c>
      <c r="AL229" s="38" t="b">
        <v>0</v>
      </c>
      <c r="AM229" s="38" t="b">
        <v>0</v>
      </c>
      <c r="AN229" s="38" t="b">
        <v>0</v>
      </c>
      <c r="AO229" s="25">
        <f t="shared" si="122"/>
        <v>0</v>
      </c>
      <c r="AQ229" s="25">
        <f>IFERROR(__xludf.DUMMYFUNCTION("if(iserror(match(true,J229:AN229,0)),0,len(index(split(substitute(substitute(join("","",J229:AN229)&amp;"","",""TRUE,"",""x""),""FALSE,"","",""),"",""),,counta(split(substitute(substitute(join("","",J229:AN229)&amp;"","",""TRUE,"",""x""),""FALSE,"","",""),"",""))"&amp;")))"),0.0)</f>
        <v>0</v>
      </c>
      <c r="AR229" s="25" t="str">
        <f>IFERROR(__xludf.DUMMYFUNCTION("arrayformula( if( sum(J229:AN229 + 0), max( len( split( concatenate( left(J229:AN229) ), ""F"" ) ) ), ""0"" ) )"),"0")</f>
        <v>0</v>
      </c>
      <c r="AS229" s="26">
        <v>15.0</v>
      </c>
      <c r="AT229" s="27">
        <f t="shared" si="123"/>
        <v>0</v>
      </c>
    </row>
    <row r="230">
      <c r="I230" s="51"/>
      <c r="J230" s="24" t="str">
        <f t="array" ref="J230">IF(COUNTIF(J210:J229, "TRUE") = 1, Setup!$E$4, 
IF(COUNTIF(J210:J229, "TRUE") = 0, Setup!$E$3,
IF(COUNTIF(J210:J229, "TRUE") = 2, Setup!$E$5, 
IF(COUNTIF(J210:J229, "TRUE") = 3, Setup!$E$6, 
IF(COUNTIF(J210:J229, "TRUE") = 4, Setup!$E$7, 
IF(COUNTIF(J210:J229, "TRUE") = 5, Setup!$E$8, 
IF(COUNTIF(J210:J229, "TRUE") &gt;= 6, Setup!$E$9)))
))))</f>
        <v/>
      </c>
      <c r="K230" s="24" t="str">
        <f t="array" ref="K230">IF(COUNTIF(K210:K229, "TRUE") = 1, Setup!$E$4, 
IF(COUNTIF(K210:K229, "TRUE") = 0, Setup!$E$3,
IF(COUNTIF(K210:K229, "TRUE") = 2, Setup!$E$5, 
IF(COUNTIF(K210:K229, "TRUE") = 3, Setup!$E$6, 
IF(COUNTIF(K210:K229, "TRUE") = 4, Setup!$E$7, 
IF(COUNTIF(K210:K229, "TRUE") = 5, Setup!$E$8, 
IF(COUNTIF(K210:K229, "TRUE") &gt;= 6, Setup!$E$9)))
))))</f>
        <v/>
      </c>
      <c r="L230" s="24" t="str">
        <f t="array" ref="L230">IF(COUNTIF(L210:L229, "TRUE") = 1, Setup!$E$4, 
IF(COUNTIF(L210:L229, "TRUE") = 0, Setup!$E$3,
IF(COUNTIF(L210:L229, "TRUE") = 2, Setup!$E$5, 
IF(COUNTIF(L210:L229, "TRUE") = 3, Setup!$E$6, 
IF(COUNTIF(L210:L229, "TRUE") = 4, Setup!$E$7, 
IF(COUNTIF(L210:L229, "TRUE") = 5, Setup!$E$8, 
IF(COUNTIF(L210:L229, "TRUE") &gt;= 6, Setup!$E$9)))
))))</f>
        <v/>
      </c>
      <c r="M230" s="24" t="str">
        <f t="array" ref="M230">IF(COUNTIF(M210:M229, "TRUE") = 1, Setup!$E$4, 
IF(COUNTIF(M210:M229, "TRUE") = 0, Setup!$E$3,
IF(COUNTIF(M210:M229, "TRUE") = 2, Setup!$E$5, 
IF(COUNTIF(M210:M229, "TRUE") = 3, Setup!$E$6, 
IF(COUNTIF(M210:M229, "TRUE") = 4, Setup!$E$7, 
IF(COUNTIF(M210:M229, "TRUE") = 5, Setup!$E$8, 
IF(COUNTIF(M210:M229, "TRUE") &gt;= 6, Setup!$E$9)))
))))</f>
        <v/>
      </c>
      <c r="N230" s="24" t="str">
        <f t="array" ref="N230">IF(COUNTIF(N210:N229, "TRUE") = 1, Setup!$E$4, 
IF(COUNTIF(N210:N229, "TRUE") = 0, Setup!$E$3,
IF(COUNTIF(N210:N229, "TRUE") = 2, Setup!$E$5, 
IF(COUNTIF(N210:N229, "TRUE") = 3, Setup!$E$6, 
IF(COUNTIF(N210:N229, "TRUE") = 4, Setup!$E$7, 
IF(COUNTIF(N210:N229, "TRUE") = 5, Setup!$E$8, 
IF(COUNTIF(N210:N229, "TRUE") &gt;= 6, Setup!$E$9)))
))))</f>
        <v/>
      </c>
      <c r="O230" s="24" t="str">
        <f t="array" ref="O230">IF(COUNTIF(O210:O229, "TRUE") = 1, Setup!$E$4, 
IF(COUNTIF(O210:O229, "TRUE") = 0, Setup!$E$3,
IF(COUNTIF(O210:O229, "TRUE") = 2, Setup!$E$5, 
IF(COUNTIF(O210:O229, "TRUE") = 3, Setup!$E$6, 
IF(COUNTIF(O210:O229, "TRUE") = 4, Setup!$E$7, 
IF(COUNTIF(O210:O229, "TRUE") = 5, Setup!$E$8, 
IF(COUNTIF(O210:O229, "TRUE") &gt;= 6, Setup!$E$9)))
))))</f>
        <v/>
      </c>
      <c r="P230" s="24" t="str">
        <f t="array" ref="P230">IF(COUNTIF(P210:P229, "TRUE") = 1, Setup!$E$4, 
IF(COUNTIF(P210:P229, "TRUE") = 0, Setup!$E$3,
IF(COUNTIF(P210:P229, "TRUE") = 2, Setup!$E$5, 
IF(COUNTIF(P210:P229, "TRUE") = 3, Setup!$E$6, 
IF(COUNTIF(P210:P229, "TRUE") = 4, Setup!$E$7, 
IF(COUNTIF(P210:P229, "TRUE") = 5, Setup!$E$8, 
IF(COUNTIF(P210:P229, "TRUE") &gt;= 6, Setup!$E$9)))
))))</f>
        <v/>
      </c>
      <c r="Q230" s="24" t="str">
        <f t="array" ref="Q230">IF(COUNTIF(Q210:Q229, "TRUE") = 1, Setup!$E$4, 
IF(COUNTIF(Q210:Q229, "TRUE") = 0, Setup!$E$3,
IF(COUNTIF(Q210:Q229, "TRUE") = 2, Setup!$E$5, 
IF(COUNTIF(Q210:Q229, "TRUE") = 3, Setup!$E$6, 
IF(COUNTIF(Q210:Q229, "TRUE") = 4, Setup!$E$7, 
IF(COUNTIF(Q210:Q229, "TRUE") = 5, Setup!$E$8, 
IF(COUNTIF(Q210:Q229, "TRUE") &gt;= 6, Setup!$E$9)))
))))</f>
        <v/>
      </c>
      <c r="R230" s="24" t="str">
        <f t="array" ref="R230">IF(COUNTIF(R210:R229, "TRUE") = 1, Setup!$E$4, 
IF(COUNTIF(R210:R229, "TRUE") = 0, Setup!$E$3,
IF(COUNTIF(R210:R229, "TRUE") = 2, Setup!$E$5, 
IF(COUNTIF(R210:R229, "TRUE") = 3, Setup!$E$6, 
IF(COUNTIF(R210:R229, "TRUE") = 4, Setup!$E$7, 
IF(COUNTIF(R210:R229, "TRUE") = 5, Setup!$E$8, 
IF(COUNTIF(R210:R229, "TRUE") &gt;= 6, Setup!$E$9)))
))))</f>
        <v/>
      </c>
      <c r="S230" s="24" t="str">
        <f t="array" ref="S230">IF(COUNTIF(S210:S229, "TRUE") = 1, Setup!$E$4, 
IF(COUNTIF(S210:S229, "TRUE") = 0, Setup!$E$3,
IF(COUNTIF(S210:S229, "TRUE") = 2, Setup!$E$5, 
IF(COUNTIF(S210:S229, "TRUE") = 3, Setup!$E$6, 
IF(COUNTIF(S210:S229, "TRUE") = 4, Setup!$E$7, 
IF(COUNTIF(S210:S229, "TRUE") = 5, Setup!$E$8, 
IF(COUNTIF(S210:S229, "TRUE") &gt;= 6, Setup!$E$9)))
))))</f>
        <v/>
      </c>
      <c r="T230" s="24" t="str">
        <f t="array" ref="T230">IF(COUNTIF(T210:T229, "TRUE") = 1, Setup!$E$4, 
IF(COUNTIF(T210:T229, "TRUE") = 0, Setup!$E$3,
IF(COUNTIF(T210:T229, "TRUE") = 2, Setup!$E$5, 
IF(COUNTIF(T210:T229, "TRUE") = 3, Setup!$E$6, 
IF(COUNTIF(T210:T229, "TRUE") = 4, Setup!$E$7, 
IF(COUNTIF(T210:T229, "TRUE") = 5, Setup!$E$8, 
IF(COUNTIF(T210:T229, "TRUE") &gt;= 6, Setup!$E$9)))
))))</f>
        <v/>
      </c>
      <c r="U230" s="24" t="str">
        <f t="array" ref="U230">IF(COUNTIF(U210:U229, "TRUE") = 1, Setup!$E$4, 
IF(COUNTIF(U210:U229, "TRUE") = 0, Setup!$E$3,
IF(COUNTIF(U210:U229, "TRUE") = 2, Setup!$E$5, 
IF(COUNTIF(U210:U229, "TRUE") = 3, Setup!$E$6, 
IF(COUNTIF(U210:U229, "TRUE") = 4, Setup!$E$7, 
IF(COUNTIF(U210:U229, "TRUE") = 5, Setup!$E$8, 
IF(COUNTIF(U210:U229, "TRUE") &gt;= 6, Setup!$E$9)))
))))</f>
        <v/>
      </c>
      <c r="V230" s="24" t="str">
        <f t="array" ref="V230">IF(COUNTIF(V210:V229, "TRUE") = 1, Setup!$E$4, 
IF(COUNTIF(V210:V229, "TRUE") = 0, Setup!$E$3,
IF(COUNTIF(V210:V229, "TRUE") = 2, Setup!$E$5, 
IF(COUNTIF(V210:V229, "TRUE") = 3, Setup!$E$6, 
IF(COUNTIF(V210:V229, "TRUE") = 4, Setup!$E$7, 
IF(COUNTIF(V210:V229, "TRUE") = 5, Setup!$E$8, 
IF(COUNTIF(V210:V229, "TRUE") &gt;= 6, Setup!$E$9)))
))))</f>
        <v/>
      </c>
      <c r="W230" s="24" t="str">
        <f t="array" ref="W230">IF(COUNTIF(W210:W229, "TRUE") = 1, Setup!$E$4, 
IF(COUNTIF(W210:W229, "TRUE") = 0, Setup!$E$3,
IF(COUNTIF(W210:W229, "TRUE") = 2, Setup!$E$5, 
IF(COUNTIF(W210:W229, "TRUE") = 3, Setup!$E$6, 
IF(COUNTIF(W210:W229, "TRUE") = 4, Setup!$E$7, 
IF(COUNTIF(W210:W229, "TRUE") = 5, Setup!$E$8, 
IF(COUNTIF(W210:W229, "TRUE") &gt;= 6, Setup!$E$9)))
))))</f>
        <v/>
      </c>
      <c r="X230" s="24" t="str">
        <f t="array" ref="X230">IF(COUNTIF(X210:X229, "TRUE") = 1, Setup!$E$4, 
IF(COUNTIF(X210:X229, "TRUE") = 0, Setup!$E$3,
IF(COUNTIF(X210:X229, "TRUE") = 2, Setup!$E$5, 
IF(COUNTIF(X210:X229, "TRUE") = 3, Setup!$E$6, 
IF(COUNTIF(X210:X229, "TRUE") = 4, Setup!$E$7, 
IF(COUNTIF(X210:X229, "TRUE") = 5, Setup!$E$8, 
IF(COUNTIF(X210:X229, "TRUE") &gt;= 6, Setup!$E$9)))
))))</f>
        <v/>
      </c>
      <c r="Y230" s="24" t="str">
        <f t="array" ref="Y230">IF(COUNTIF(Y210:Y229, "TRUE") = 1, Setup!$E$4, 
IF(COUNTIF(Y210:Y229, "TRUE") = 0, Setup!$E$3,
IF(COUNTIF(Y210:Y229, "TRUE") = 2, Setup!$E$5, 
IF(COUNTIF(Y210:Y229, "TRUE") = 3, Setup!$E$6, 
IF(COUNTIF(Y210:Y229, "TRUE") = 4, Setup!$E$7, 
IF(COUNTIF(Y210:Y229, "TRUE") = 5, Setup!$E$8, 
IF(COUNTIF(Y210:Y229, "TRUE") &gt;= 6, Setup!$E$9)))
))))</f>
        <v/>
      </c>
      <c r="Z230" s="24" t="str">
        <f t="array" ref="Z230">IF(COUNTIF(Z210:Z229, "TRUE") = 1, Setup!$E$4, 
IF(COUNTIF(Z210:Z229, "TRUE") = 0, Setup!$E$3,
IF(COUNTIF(Z210:Z229, "TRUE") = 2, Setup!$E$5, 
IF(COUNTIF(Z210:Z229, "TRUE") = 3, Setup!$E$6, 
IF(COUNTIF(Z210:Z229, "TRUE") = 4, Setup!$E$7, 
IF(COUNTIF(Z210:Z229, "TRUE") = 5, Setup!$E$8, 
IF(COUNTIF(Z210:Z229, "TRUE") &gt;= 6, Setup!$E$9)))
))))</f>
        <v/>
      </c>
      <c r="AA230" s="24" t="str">
        <f t="array" ref="AA230">IF(COUNTIF(AA210:AA229, "TRUE") = 1, Setup!$E$4, 
IF(COUNTIF(AA210:AA229, "TRUE") = 0, Setup!$E$3,
IF(COUNTIF(AA210:AA229, "TRUE") = 2, Setup!$E$5, 
IF(COUNTIF(AA210:AA229, "TRUE") = 3, Setup!$E$6, 
IF(COUNTIF(AA210:AA229, "TRUE") = 4, Setup!$E$7, 
IF(COUNTIF(AA210:AA229, "TRUE") = 5, Setup!$E$8, 
IF(COUNTIF(AA210:AA229, "TRUE") &gt;= 6, Setup!$E$9)))
))))</f>
        <v/>
      </c>
      <c r="AB230" s="24" t="str">
        <f t="array" ref="AB230">IF(COUNTIF(AB210:AB229, "TRUE") = 1, Setup!$E$4, 
IF(COUNTIF(AB210:AB229, "TRUE") = 0, Setup!$E$3,
IF(COUNTIF(AB210:AB229, "TRUE") = 2, Setup!$E$5, 
IF(COUNTIF(AB210:AB229, "TRUE") = 3, Setup!$E$6, 
IF(COUNTIF(AB210:AB229, "TRUE") = 4, Setup!$E$7, 
IF(COUNTIF(AB210:AB229, "TRUE") = 5, Setup!$E$8, 
IF(COUNTIF(AB210:AB229, "TRUE") &gt;= 6, Setup!$E$9)))
))))</f>
        <v/>
      </c>
      <c r="AC230" s="24" t="str">
        <f t="array" ref="AC230">IF(COUNTIF(AC210:AC229, "TRUE") = 1, Setup!$E$4, 
IF(COUNTIF(AC210:AC229, "TRUE") = 0, Setup!$E$3,
IF(COUNTIF(AC210:AC229, "TRUE") = 2, Setup!$E$5, 
IF(COUNTIF(AC210:AC229, "TRUE") = 3, Setup!$E$6, 
IF(COUNTIF(AC210:AC229, "TRUE") = 4, Setup!$E$7, 
IF(COUNTIF(AC210:AC229, "TRUE") = 5, Setup!$E$8, 
IF(COUNTIF(AC210:AC229, "TRUE") &gt;= 6, Setup!$E$9)))
))))</f>
        <v/>
      </c>
      <c r="AD230" s="24" t="str">
        <f t="array" ref="AD230">IF(COUNTIF(AD210:AD229, "TRUE") = 1, Setup!$E$4, 
IF(COUNTIF(AD210:AD229, "TRUE") = 0, Setup!$E$3,
IF(COUNTIF(AD210:AD229, "TRUE") = 2, Setup!$E$5, 
IF(COUNTIF(AD210:AD229, "TRUE") = 3, Setup!$E$6, 
IF(COUNTIF(AD210:AD229, "TRUE") = 4, Setup!$E$7, 
IF(COUNTIF(AD210:AD229, "TRUE") = 5, Setup!$E$8, 
IF(COUNTIF(AD210:AD229, "TRUE") &gt;= 6, Setup!$E$9)))
))))</f>
        <v/>
      </c>
      <c r="AE230" s="24" t="str">
        <f t="array" ref="AE230">IF(COUNTIF(AE210:AE229, "TRUE") = 1, Setup!$E$4, 
IF(COUNTIF(AE210:AE229, "TRUE") = 0, Setup!$E$3,
IF(COUNTIF(AE210:AE229, "TRUE") = 2, Setup!$E$5, 
IF(COUNTIF(AE210:AE229, "TRUE") = 3, Setup!$E$6, 
IF(COUNTIF(AE210:AE229, "TRUE") = 4, Setup!$E$7, 
IF(COUNTIF(AE210:AE229, "TRUE") = 5, Setup!$E$8, 
IF(COUNTIF(AE210:AE229, "TRUE") &gt;= 6, Setup!$E$9)))
))))</f>
        <v/>
      </c>
      <c r="AF230" s="24" t="str">
        <f t="array" ref="AF230">IF(COUNTIF(AF210:AF229, "TRUE") = 1, Setup!$E$4, 
IF(COUNTIF(AF210:AF229, "TRUE") = 0, Setup!$E$3,
IF(COUNTIF(AF210:AF229, "TRUE") = 2, Setup!$E$5, 
IF(COUNTIF(AF210:AF229, "TRUE") = 3, Setup!$E$6, 
IF(COUNTIF(AF210:AF229, "TRUE") = 4, Setup!$E$7, 
IF(COUNTIF(AF210:AF229, "TRUE") = 5, Setup!$E$8, 
IF(COUNTIF(AF210:AF229, "TRUE") &gt;= 6, Setup!$E$9)))
))))</f>
        <v/>
      </c>
      <c r="AG230" s="24" t="str">
        <f t="array" ref="AG230">IF(COUNTIF(AG210:AG229, "TRUE") = 1, Setup!$E$4, 
IF(COUNTIF(AG210:AG229, "TRUE") = 0, Setup!$E$3,
IF(COUNTIF(AG210:AG229, "TRUE") = 2, Setup!$E$5, 
IF(COUNTIF(AG210:AG229, "TRUE") = 3, Setup!$E$6, 
IF(COUNTIF(AG210:AG229, "TRUE") = 4, Setup!$E$7, 
IF(COUNTIF(AG210:AG229, "TRUE") = 5, Setup!$E$8, 
IF(COUNTIF(AG210:AG229, "TRUE") &gt;= 6, Setup!$E$9)))
))))</f>
        <v/>
      </c>
      <c r="AH230" s="24" t="str">
        <f t="array" ref="AH230">IF(COUNTIF(AH210:AH229, "TRUE") = 1, Setup!$E$4, 
IF(COUNTIF(AH210:AH229, "TRUE") = 0, Setup!$E$3,
IF(COUNTIF(AH210:AH229, "TRUE") = 2, Setup!$E$5, 
IF(COUNTIF(AH210:AH229, "TRUE") = 3, Setup!$E$6, 
IF(COUNTIF(AH210:AH229, "TRUE") = 4, Setup!$E$7, 
IF(COUNTIF(AH210:AH229, "TRUE") = 5, Setup!$E$8, 
IF(COUNTIF(AH210:AH229, "TRUE") &gt;= 6, Setup!$E$9)))
))))</f>
        <v/>
      </c>
      <c r="AI230" s="24" t="str">
        <f t="array" ref="AI230">IF(COUNTIF(AI210:AI229, "TRUE") = 1, Setup!$E$4, 
IF(COUNTIF(AI210:AI229, "TRUE") = 0, Setup!$E$3,
IF(COUNTIF(AI210:AI229, "TRUE") = 2, Setup!$E$5, 
IF(COUNTIF(AI210:AI229, "TRUE") = 3, Setup!$E$6, 
IF(COUNTIF(AI210:AI229, "TRUE") = 4, Setup!$E$7, 
IF(COUNTIF(AI210:AI229, "TRUE") = 5, Setup!$E$8, 
IF(COUNTIF(AI210:AI229, "TRUE") &gt;= 6, Setup!$E$9)))
))))</f>
        <v/>
      </c>
      <c r="AJ230" s="24" t="str">
        <f t="array" ref="AJ230">IF(COUNTIF(AJ210:AJ229, "TRUE") = 1, Setup!$E$4, 
IF(COUNTIF(AJ210:AJ229, "TRUE") = 0, Setup!$E$3,
IF(COUNTIF(AJ210:AJ229, "TRUE") = 2, Setup!$E$5, 
IF(COUNTIF(AJ210:AJ229, "TRUE") = 3, Setup!$E$6, 
IF(COUNTIF(AJ210:AJ229, "TRUE") = 4, Setup!$E$7, 
IF(COUNTIF(AJ210:AJ229, "TRUE") = 5, Setup!$E$8, 
IF(COUNTIF(AJ210:AJ229, "TRUE") &gt;= 6, Setup!$E$9)))
))))</f>
        <v/>
      </c>
      <c r="AK230" s="24" t="str">
        <f t="array" ref="AK230">IF(COUNTIF(AK210:AK229, "TRUE") = 1, Setup!$E$4, 
IF(COUNTIF(AK210:AK229, "TRUE") = 0, Setup!$E$3,
IF(COUNTIF(AK210:AK229, "TRUE") = 2, Setup!$E$5, 
IF(COUNTIF(AK210:AK229, "TRUE") = 3, Setup!$E$6, 
IF(COUNTIF(AK210:AK229, "TRUE") = 4, Setup!$E$7, 
IF(COUNTIF(AK210:AK229, "TRUE") = 5, Setup!$E$8, 
IF(COUNTIF(AK210:AK229, "TRUE") &gt;= 6, Setup!$E$9)))
))))</f>
        <v/>
      </c>
      <c r="AL230" s="24" t="str">
        <f t="array" ref="AL230">IF(COUNTIF(AL210:AL229, "TRUE") = 1, Setup!$E$4, 
IF(COUNTIF(AL210:AL229, "TRUE") = 0, Setup!$E$3,
IF(COUNTIF(AL210:AL229, "TRUE") = 2, Setup!$E$5, 
IF(COUNTIF(AL210:AL229, "TRUE") = 3, Setup!$E$6, 
IF(COUNTIF(AL210:AL229, "TRUE") = 4, Setup!$E$7, 
IF(COUNTIF(AL210:AL229, "TRUE") = 5, Setup!$E$8, 
IF(COUNTIF(AL210:AL229, "TRUE") &gt;= 6, Setup!$E$9)))
))))</f>
        <v/>
      </c>
      <c r="AM230" s="24" t="str">
        <f t="array" ref="AM230">IF(COUNTIF(AM210:AM229, "TRUE") = 1, Setup!$E$4, 
IF(COUNTIF(AM210:AM229, "TRUE") = 0, Setup!$E$3,
IF(COUNTIF(AM210:AM229, "TRUE") = 2, Setup!$E$5, 
IF(COUNTIF(AM210:AM229, "TRUE") = 3, Setup!$E$6, 
IF(COUNTIF(AM210:AM229, "TRUE") = 4, Setup!$E$7, 
IF(COUNTIF(AM210:AM229, "TRUE") = 5, Setup!$E$8, 
IF(COUNTIF(AM210:AM229, "TRUE") &gt;= 6, Setup!$E$9)))
))))</f>
        <v/>
      </c>
      <c r="AN230" s="24" t="str">
        <f t="array" ref="AN230">IF(COUNTIF(AN210:AN229, "TRUE") = 1, Setup!$E$4, 
IF(COUNTIF(AN210:AN229, "TRUE") = 0, Setup!$E$3,
IF(COUNTIF(AN210:AN229, "TRUE") = 2, Setup!$E$5, 
IF(COUNTIF(AN210:AN229, "TRUE") = 3, Setup!$E$6, 
IF(COUNTIF(AN210:AN229, "TRUE") = 4, Setup!$E$7, 
IF(COUNTIF(AN210:AN229, "TRUE") = 5, Setup!$E$8, 
IF(COUNTIF(AN210:AN229, "TRUE") &gt;= 6, Setup!$E$9)))
))))</f>
        <v/>
      </c>
      <c r="AO230" s="38"/>
      <c r="AQ230" s="38"/>
      <c r="AR230" s="38"/>
      <c r="AS230" s="38"/>
      <c r="AT230" s="38"/>
    </row>
    <row r="231">
      <c r="A231" s="49" t="s">
        <v>62</v>
      </c>
      <c r="B231" s="49" t="s">
        <v>63</v>
      </c>
      <c r="I231" s="53" t="s">
        <v>64</v>
      </c>
      <c r="J231" s="16">
        <f t="array" ref="J231">DATE($D$1, MATCH(I231, {"January","February","March","April","May","June","July","August","September","October","November","December"}, 0), 1)</f>
        <v>46327</v>
      </c>
      <c r="K231" s="16">
        <f t="shared" ref="K231:AM231" si="131">J231+1</f>
        <v>46328</v>
      </c>
      <c r="L231" s="16">
        <f t="shared" si="131"/>
        <v>46329</v>
      </c>
      <c r="M231" s="16">
        <f t="shared" si="131"/>
        <v>46330</v>
      </c>
      <c r="N231" s="16">
        <f t="shared" si="131"/>
        <v>46331</v>
      </c>
      <c r="O231" s="16">
        <f t="shared" si="131"/>
        <v>46332</v>
      </c>
      <c r="P231" s="16">
        <f t="shared" si="131"/>
        <v>46333</v>
      </c>
      <c r="Q231" s="16">
        <f t="shared" si="131"/>
        <v>46334</v>
      </c>
      <c r="R231" s="16">
        <f t="shared" si="131"/>
        <v>46335</v>
      </c>
      <c r="S231" s="16">
        <f t="shared" si="131"/>
        <v>46336</v>
      </c>
      <c r="T231" s="16">
        <f t="shared" si="131"/>
        <v>46337</v>
      </c>
      <c r="U231" s="16">
        <f t="shared" si="131"/>
        <v>46338</v>
      </c>
      <c r="V231" s="16">
        <f t="shared" si="131"/>
        <v>46339</v>
      </c>
      <c r="W231" s="16">
        <f t="shared" si="131"/>
        <v>46340</v>
      </c>
      <c r="X231" s="16">
        <f t="shared" si="131"/>
        <v>46341</v>
      </c>
      <c r="Y231" s="16">
        <f t="shared" si="131"/>
        <v>46342</v>
      </c>
      <c r="Z231" s="16">
        <f t="shared" si="131"/>
        <v>46343</v>
      </c>
      <c r="AA231" s="16">
        <f t="shared" si="131"/>
        <v>46344</v>
      </c>
      <c r="AB231" s="16">
        <f t="shared" si="131"/>
        <v>46345</v>
      </c>
      <c r="AC231" s="16">
        <f t="shared" si="131"/>
        <v>46346</v>
      </c>
      <c r="AD231" s="16">
        <f t="shared" si="131"/>
        <v>46347</v>
      </c>
      <c r="AE231" s="16">
        <f t="shared" si="131"/>
        <v>46348</v>
      </c>
      <c r="AF231" s="16">
        <f t="shared" si="131"/>
        <v>46349</v>
      </c>
      <c r="AG231" s="16">
        <f t="shared" si="131"/>
        <v>46350</v>
      </c>
      <c r="AH231" s="16">
        <f t="shared" si="131"/>
        <v>46351</v>
      </c>
      <c r="AI231" s="16">
        <f t="shared" si="131"/>
        <v>46352</v>
      </c>
      <c r="AJ231" s="16">
        <f t="shared" si="131"/>
        <v>46353</v>
      </c>
      <c r="AK231" s="16">
        <f t="shared" si="131"/>
        <v>46354</v>
      </c>
      <c r="AL231" s="16">
        <f t="shared" si="131"/>
        <v>46355</v>
      </c>
      <c r="AM231" s="16">
        <f t="shared" si="131"/>
        <v>46356</v>
      </c>
      <c r="AN231" s="54"/>
      <c r="AO231" s="17" t="s">
        <v>28</v>
      </c>
      <c r="AQ231" s="18" t="s">
        <v>29</v>
      </c>
      <c r="AR231" s="18" t="s">
        <v>30</v>
      </c>
      <c r="AS231" s="18" t="s">
        <v>31</v>
      </c>
      <c r="AT231" s="18" t="s">
        <v>32</v>
      </c>
    </row>
    <row r="232" ht="15.0" customHeight="1">
      <c r="A232" s="34"/>
      <c r="B232" s="34"/>
      <c r="I232" s="35"/>
      <c r="J232" s="36">
        <f t="shared" ref="J232:AN232" si="132">J231</f>
        <v>46327</v>
      </c>
      <c r="K232" s="36">
        <f t="shared" si="132"/>
        <v>46328</v>
      </c>
      <c r="L232" s="36">
        <f t="shared" si="132"/>
        <v>46329</v>
      </c>
      <c r="M232" s="36">
        <f t="shared" si="132"/>
        <v>46330</v>
      </c>
      <c r="N232" s="36">
        <f t="shared" si="132"/>
        <v>46331</v>
      </c>
      <c r="O232" s="36">
        <f t="shared" si="132"/>
        <v>46332</v>
      </c>
      <c r="P232" s="36">
        <f t="shared" si="132"/>
        <v>46333</v>
      </c>
      <c r="Q232" s="36">
        <f t="shared" si="132"/>
        <v>46334</v>
      </c>
      <c r="R232" s="36">
        <f t="shared" si="132"/>
        <v>46335</v>
      </c>
      <c r="S232" s="36">
        <f t="shared" si="132"/>
        <v>46336</v>
      </c>
      <c r="T232" s="36">
        <f t="shared" si="132"/>
        <v>46337</v>
      </c>
      <c r="U232" s="36">
        <f t="shared" si="132"/>
        <v>46338</v>
      </c>
      <c r="V232" s="36">
        <f t="shared" si="132"/>
        <v>46339</v>
      </c>
      <c r="W232" s="36">
        <f t="shared" si="132"/>
        <v>46340</v>
      </c>
      <c r="X232" s="36">
        <f t="shared" si="132"/>
        <v>46341</v>
      </c>
      <c r="Y232" s="36">
        <f t="shared" si="132"/>
        <v>46342</v>
      </c>
      <c r="Z232" s="36">
        <f t="shared" si="132"/>
        <v>46343</v>
      </c>
      <c r="AA232" s="36">
        <f t="shared" si="132"/>
        <v>46344</v>
      </c>
      <c r="AB232" s="36">
        <f t="shared" si="132"/>
        <v>46345</v>
      </c>
      <c r="AC232" s="36">
        <f t="shared" si="132"/>
        <v>46346</v>
      </c>
      <c r="AD232" s="36">
        <f t="shared" si="132"/>
        <v>46347</v>
      </c>
      <c r="AE232" s="36">
        <f t="shared" si="132"/>
        <v>46348</v>
      </c>
      <c r="AF232" s="36">
        <f t="shared" si="132"/>
        <v>46349</v>
      </c>
      <c r="AG232" s="36">
        <f t="shared" si="132"/>
        <v>46350</v>
      </c>
      <c r="AH232" s="36">
        <f t="shared" si="132"/>
        <v>46351</v>
      </c>
      <c r="AI232" s="36">
        <f t="shared" si="132"/>
        <v>46352</v>
      </c>
      <c r="AJ232" s="36">
        <f t="shared" si="132"/>
        <v>46353</v>
      </c>
      <c r="AK232" s="36">
        <f t="shared" si="132"/>
        <v>46354</v>
      </c>
      <c r="AL232" s="36">
        <f t="shared" si="132"/>
        <v>46355</v>
      </c>
      <c r="AM232" s="36">
        <f t="shared" si="132"/>
        <v>46356</v>
      </c>
      <c r="AN232" s="36" t="str">
        <f t="shared" si="132"/>
        <v/>
      </c>
    </row>
    <row r="233">
      <c r="A233" s="51"/>
      <c r="B233" s="52" t="str">
        <f t="shared" ref="B233:H233" si="133">IF($E$2="Monday", TEXT(TODAY()-WEEKDAY(TODAY(),2)+COLUMN(B233)-1,"ddd"), TEXT(TODAY()-WEEKDAY(TODAY(),1)+IF(COLUMN(B233)&gt;1,COLUMN(B233)-1,7),"ddd"))
</f>
        <v>Mon</v>
      </c>
      <c r="C233" s="52" t="str">
        <f t="shared" si="133"/>
        <v>Tue</v>
      </c>
      <c r="D233" s="52" t="str">
        <f t="shared" si="133"/>
        <v>Wed</v>
      </c>
      <c r="E233" s="52" t="str">
        <f t="shared" si="133"/>
        <v>Thu</v>
      </c>
      <c r="F233" s="52" t="str">
        <f t="shared" si="133"/>
        <v>Fri</v>
      </c>
      <c r="G233" s="52" t="str">
        <f t="shared" si="133"/>
        <v>Sat</v>
      </c>
      <c r="H233" s="52" t="str">
        <f t="shared" si="133"/>
        <v>Sun</v>
      </c>
      <c r="I233" s="6" t="str">
        <f t="array" ref="I233:I252">Setup!$B$3:$B$22</f>
        <v>🧘🏻‍♀️Yoga</v>
      </c>
      <c r="J233" s="24" t="b">
        <v>0</v>
      </c>
      <c r="K233" s="38" t="b">
        <v>0</v>
      </c>
      <c r="L233" s="38" t="b">
        <v>0</v>
      </c>
      <c r="M233" s="38" t="b">
        <v>0</v>
      </c>
      <c r="N233" s="38" t="b">
        <v>0</v>
      </c>
      <c r="O233" s="38" t="b">
        <v>0</v>
      </c>
      <c r="P233" s="38" t="b">
        <v>0</v>
      </c>
      <c r="Q233" s="38" t="b">
        <v>0</v>
      </c>
      <c r="R233" s="38" t="b">
        <v>0</v>
      </c>
      <c r="S233" s="38" t="b">
        <v>0</v>
      </c>
      <c r="T233" s="38" t="b">
        <v>0</v>
      </c>
      <c r="U233" s="38" t="b">
        <v>0</v>
      </c>
      <c r="V233" s="38" t="b">
        <v>0</v>
      </c>
      <c r="W233" s="38" t="b">
        <v>0</v>
      </c>
      <c r="X233" s="38" t="b">
        <v>0</v>
      </c>
      <c r="Y233" s="38" t="b">
        <v>0</v>
      </c>
      <c r="Z233" s="38" t="b">
        <v>0</v>
      </c>
      <c r="AA233" s="38" t="b">
        <v>0</v>
      </c>
      <c r="AB233" s="38" t="b">
        <v>0</v>
      </c>
      <c r="AC233" s="38" t="b">
        <v>0</v>
      </c>
      <c r="AD233" s="38" t="b">
        <v>0</v>
      </c>
      <c r="AE233" s="38" t="b">
        <v>0</v>
      </c>
      <c r="AF233" s="38" t="b">
        <v>0</v>
      </c>
      <c r="AG233" s="38" t="b">
        <v>0</v>
      </c>
      <c r="AH233" s="38" t="b">
        <v>0</v>
      </c>
      <c r="AI233" s="38" t="b">
        <v>0</v>
      </c>
      <c r="AJ233" s="38" t="b">
        <v>0</v>
      </c>
      <c r="AK233" s="38" t="b">
        <v>0</v>
      </c>
      <c r="AL233" s="38" t="b">
        <v>0</v>
      </c>
      <c r="AM233" s="38" t="b">
        <v>0</v>
      </c>
      <c r="AN233" s="38"/>
      <c r="AO233" s="25">
        <f t="shared" ref="AO233:AO252" si="135">COUNTIF(J233:AN233, "TRUE")</f>
        <v>0</v>
      </c>
      <c r="AQ233" s="25">
        <f>IFERROR(__xludf.DUMMYFUNCTION("if(iserror(match(true,J233:AN233,0)),0,len(index(split(substitute(substitute(join("","",J233:AN233)&amp;"","",""TRUE,"",""x""),""FALSE,"","",""),"",""),,counta(split(substitute(substitute(join("","",J233:AN233)&amp;"","",""TRUE,"",""x""),""FALSE,"","",""),"",""))"&amp;")))"),0.0)</f>
        <v>0</v>
      </c>
      <c r="AR233" s="25" t="str">
        <f>IFERROR(__xludf.DUMMYFUNCTION("arrayformula( if( sum(J233:AN233 + 0), max( len( split( concatenate( left(J233:AN233) ), ""F"" ) ) ), ""0"" ) )"),"0")</f>
        <v>0</v>
      </c>
      <c r="AS233" s="26">
        <v>15.0</v>
      </c>
      <c r="AT233" s="27">
        <f t="shared" ref="AT233:AT252" si="136">AO233/AS233</f>
        <v>0</v>
      </c>
    </row>
    <row r="234">
      <c r="A234" s="28">
        <f>WEEKNUM(DATE($D$1, MONTH(I231 &amp; 1), 1), 2)
</f>
        <v>44</v>
      </c>
      <c r="B234" s="29">
        <f t="array" ref="B234">IFERROR(DATE($D$1, 1, (A234-1)*7 + 2 - WEEKDAY(DATE($D$1, 1, 1) - MATCH(B233, {"Mon","Tue","Wed","Thu","Fri","Sat","Sun"}, 0))), "")</f>
        <v>46321</v>
      </c>
      <c r="C234" s="30">
        <f t="shared" ref="C234:H234" si="134">B234+1</f>
        <v>46322</v>
      </c>
      <c r="D234" s="30">
        <f t="shared" si="134"/>
        <v>46323</v>
      </c>
      <c r="E234" s="30">
        <f t="shared" si="134"/>
        <v>46324</v>
      </c>
      <c r="F234" s="30">
        <f t="shared" si="134"/>
        <v>46325</v>
      </c>
      <c r="G234" s="30">
        <f t="shared" si="134"/>
        <v>46326</v>
      </c>
      <c r="H234" s="30">
        <f t="shared" si="134"/>
        <v>46327</v>
      </c>
      <c r="I234" s="6" t="s">
        <v>7</v>
      </c>
      <c r="J234" s="38" t="b">
        <v>0</v>
      </c>
      <c r="K234" s="38" t="b">
        <v>0</v>
      </c>
      <c r="L234" s="38" t="b">
        <v>0</v>
      </c>
      <c r="M234" s="38" t="b">
        <v>0</v>
      </c>
      <c r="N234" s="38" t="b">
        <v>0</v>
      </c>
      <c r="O234" s="38" t="b">
        <v>0</v>
      </c>
      <c r="P234" s="38" t="b">
        <v>0</v>
      </c>
      <c r="Q234" s="38" t="b">
        <v>0</v>
      </c>
      <c r="R234" s="38" t="b">
        <v>0</v>
      </c>
      <c r="S234" s="38" t="b">
        <v>0</v>
      </c>
      <c r="T234" s="38" t="b">
        <v>0</v>
      </c>
      <c r="U234" s="38" t="b">
        <v>0</v>
      </c>
      <c r="V234" s="38" t="b">
        <v>0</v>
      </c>
      <c r="W234" s="38" t="b">
        <v>0</v>
      </c>
      <c r="X234" s="38" t="b">
        <v>0</v>
      </c>
      <c r="Y234" s="38" t="b">
        <v>0</v>
      </c>
      <c r="Z234" s="38" t="b">
        <v>0</v>
      </c>
      <c r="AA234" s="38" t="b">
        <v>0</v>
      </c>
      <c r="AB234" s="38" t="b">
        <v>0</v>
      </c>
      <c r="AC234" s="38" t="b">
        <v>0</v>
      </c>
      <c r="AD234" s="38" t="b">
        <v>0</v>
      </c>
      <c r="AE234" s="38" t="b">
        <v>0</v>
      </c>
      <c r="AF234" s="38" t="b">
        <v>0</v>
      </c>
      <c r="AG234" s="38" t="b">
        <v>0</v>
      </c>
      <c r="AH234" s="38" t="b">
        <v>0</v>
      </c>
      <c r="AI234" s="38" t="b">
        <v>0</v>
      </c>
      <c r="AJ234" s="38" t="b">
        <v>0</v>
      </c>
      <c r="AK234" s="38" t="b">
        <v>0</v>
      </c>
      <c r="AL234" s="38" t="b">
        <v>0</v>
      </c>
      <c r="AM234" s="38" t="b">
        <v>0</v>
      </c>
      <c r="AN234" s="38"/>
      <c r="AO234" s="25">
        <f t="shared" si="135"/>
        <v>0</v>
      </c>
      <c r="AQ234" s="25">
        <f>IFERROR(__xludf.DUMMYFUNCTION("if(iserror(match(true,J234:AN234,0)),0,len(index(split(substitute(substitute(join("","",J234:AN234)&amp;"","",""TRUE,"",""x""),""FALSE,"","",""),"",""),,counta(split(substitute(substitute(join("","",J234:AN234)&amp;"","",""TRUE,"",""x""),""FALSE,"","",""),"",""))"&amp;")))"),0.0)</f>
        <v>0</v>
      </c>
      <c r="AR234" s="25" t="str">
        <f>IFERROR(__xludf.DUMMYFUNCTION("arrayformula( if( sum(J234:AN234 + 0), max( len( split( concatenate( left(J234:AN234) ), ""F"" ) ) ), ""0"" ) )"),"0")</f>
        <v>0</v>
      </c>
      <c r="AS234" s="26">
        <v>20.0</v>
      </c>
      <c r="AT234" s="27">
        <f t="shared" si="136"/>
        <v>0</v>
      </c>
    </row>
    <row r="235">
      <c r="A235" s="31">
        <f t="shared" ref="A235:A239" si="138">A234+1</f>
        <v>45</v>
      </c>
      <c r="B235" s="30">
        <f t="shared" ref="B235:B239" si="139">H234+1</f>
        <v>46328</v>
      </c>
      <c r="C235" s="30">
        <f t="shared" ref="C235:H235" si="137">B235+1</f>
        <v>46329</v>
      </c>
      <c r="D235" s="30">
        <f t="shared" si="137"/>
        <v>46330</v>
      </c>
      <c r="E235" s="30">
        <f t="shared" si="137"/>
        <v>46331</v>
      </c>
      <c r="F235" s="30">
        <f t="shared" si="137"/>
        <v>46332</v>
      </c>
      <c r="G235" s="30">
        <f t="shared" si="137"/>
        <v>46333</v>
      </c>
      <c r="H235" s="30">
        <f t="shared" si="137"/>
        <v>46334</v>
      </c>
      <c r="I235" s="6" t="s">
        <v>11</v>
      </c>
      <c r="J235" s="38" t="b">
        <v>0</v>
      </c>
      <c r="K235" s="38" t="b">
        <v>0</v>
      </c>
      <c r="L235" s="38" t="b">
        <v>0</v>
      </c>
      <c r="M235" s="38" t="b">
        <v>0</v>
      </c>
      <c r="N235" s="38" t="b">
        <v>0</v>
      </c>
      <c r="O235" s="38" t="b">
        <v>0</v>
      </c>
      <c r="P235" s="38" t="b">
        <v>0</v>
      </c>
      <c r="Q235" s="38" t="b">
        <v>0</v>
      </c>
      <c r="R235" s="38" t="b">
        <v>0</v>
      </c>
      <c r="S235" s="38" t="b">
        <v>0</v>
      </c>
      <c r="T235" s="38" t="b">
        <v>0</v>
      </c>
      <c r="U235" s="38" t="b">
        <v>0</v>
      </c>
      <c r="V235" s="38" t="b">
        <v>0</v>
      </c>
      <c r="W235" s="38" t="b">
        <v>0</v>
      </c>
      <c r="X235" s="38" t="b">
        <v>0</v>
      </c>
      <c r="Y235" s="38" t="b">
        <v>0</v>
      </c>
      <c r="Z235" s="38" t="b">
        <v>0</v>
      </c>
      <c r="AA235" s="38" t="b">
        <v>0</v>
      </c>
      <c r="AB235" s="38" t="b">
        <v>0</v>
      </c>
      <c r="AC235" s="38" t="b">
        <v>0</v>
      </c>
      <c r="AD235" s="38" t="b">
        <v>0</v>
      </c>
      <c r="AE235" s="38" t="b">
        <v>0</v>
      </c>
      <c r="AF235" s="38" t="b">
        <v>0</v>
      </c>
      <c r="AG235" s="38" t="b">
        <v>0</v>
      </c>
      <c r="AH235" s="38" t="b">
        <v>0</v>
      </c>
      <c r="AI235" s="38" t="b">
        <v>0</v>
      </c>
      <c r="AJ235" s="38" t="b">
        <v>0</v>
      </c>
      <c r="AK235" s="38" t="b">
        <v>0</v>
      </c>
      <c r="AL235" s="38" t="b">
        <v>0</v>
      </c>
      <c r="AM235" s="38" t="b">
        <v>0</v>
      </c>
      <c r="AN235" s="38"/>
      <c r="AO235" s="25">
        <f t="shared" si="135"/>
        <v>0</v>
      </c>
      <c r="AQ235" s="25">
        <f>IFERROR(__xludf.DUMMYFUNCTION("if(iserror(match(true,J235:AN235,0)),0,len(index(split(substitute(substitute(join("","",J235:AN235)&amp;"","",""TRUE,"",""x""),""FALSE,"","",""),"",""),,counta(split(substitute(substitute(join("","",J235:AN235)&amp;"","",""TRUE,"",""x""),""FALSE,"","",""),"",""))"&amp;")))"),0.0)</f>
        <v>0</v>
      </c>
      <c r="AR235" s="25" t="str">
        <f>IFERROR(__xludf.DUMMYFUNCTION("arrayformula( if( sum(J235:AN235 + 0), max( len( split( concatenate( left(J235:AN235) ), ""F"" ) ) ), ""0"" ) )"),"0")</f>
        <v>0</v>
      </c>
      <c r="AS235" s="26">
        <v>30.0</v>
      </c>
      <c r="AT235" s="27">
        <f t="shared" si="136"/>
        <v>0</v>
      </c>
    </row>
    <row r="236">
      <c r="A236" s="31">
        <f t="shared" si="138"/>
        <v>46</v>
      </c>
      <c r="B236" s="30">
        <f t="shared" si="139"/>
        <v>46335</v>
      </c>
      <c r="C236" s="30">
        <f t="shared" ref="C236:H236" si="140">B236+1</f>
        <v>46336</v>
      </c>
      <c r="D236" s="30">
        <f t="shared" si="140"/>
        <v>46337</v>
      </c>
      <c r="E236" s="30">
        <f t="shared" si="140"/>
        <v>46338</v>
      </c>
      <c r="F236" s="30">
        <f t="shared" si="140"/>
        <v>46339</v>
      </c>
      <c r="G236" s="30">
        <f t="shared" si="140"/>
        <v>46340</v>
      </c>
      <c r="H236" s="30">
        <f t="shared" si="140"/>
        <v>46341</v>
      </c>
      <c r="I236" s="6" t="s">
        <v>14</v>
      </c>
      <c r="J236" s="38" t="b">
        <v>0</v>
      </c>
      <c r="K236" s="38" t="b">
        <v>0</v>
      </c>
      <c r="L236" s="38" t="b">
        <v>0</v>
      </c>
      <c r="M236" s="38" t="b">
        <v>0</v>
      </c>
      <c r="N236" s="38" t="b">
        <v>0</v>
      </c>
      <c r="O236" s="38" t="b">
        <v>0</v>
      </c>
      <c r="P236" s="38" t="b">
        <v>0</v>
      </c>
      <c r="Q236" s="38" t="b">
        <v>0</v>
      </c>
      <c r="R236" s="38" t="b">
        <v>0</v>
      </c>
      <c r="S236" s="38" t="b">
        <v>0</v>
      </c>
      <c r="T236" s="38" t="b">
        <v>0</v>
      </c>
      <c r="U236" s="38" t="b">
        <v>0</v>
      </c>
      <c r="V236" s="38" t="b">
        <v>0</v>
      </c>
      <c r="W236" s="38" t="b">
        <v>0</v>
      </c>
      <c r="X236" s="38" t="b">
        <v>0</v>
      </c>
      <c r="Y236" s="38" t="b">
        <v>0</v>
      </c>
      <c r="Z236" s="38" t="b">
        <v>0</v>
      </c>
      <c r="AA236" s="38" t="b">
        <v>0</v>
      </c>
      <c r="AB236" s="38" t="b">
        <v>0</v>
      </c>
      <c r="AC236" s="38" t="b">
        <v>0</v>
      </c>
      <c r="AD236" s="38" t="b">
        <v>0</v>
      </c>
      <c r="AE236" s="38" t="b">
        <v>0</v>
      </c>
      <c r="AF236" s="38" t="b">
        <v>0</v>
      </c>
      <c r="AG236" s="38" t="b">
        <v>0</v>
      </c>
      <c r="AH236" s="38" t="b">
        <v>0</v>
      </c>
      <c r="AI236" s="38" t="b">
        <v>0</v>
      </c>
      <c r="AJ236" s="38" t="b">
        <v>0</v>
      </c>
      <c r="AK236" s="38" t="b">
        <v>0</v>
      </c>
      <c r="AL236" s="38" t="b">
        <v>0</v>
      </c>
      <c r="AM236" s="38" t="b">
        <v>0</v>
      </c>
      <c r="AN236" s="38"/>
      <c r="AO236" s="25">
        <f t="shared" si="135"/>
        <v>0</v>
      </c>
      <c r="AQ236" s="25">
        <f>IFERROR(__xludf.DUMMYFUNCTION("if(iserror(match(true,J236:AN236,0)),0,len(index(split(substitute(substitute(join("","",J236:AN236)&amp;"","",""TRUE,"",""x""),""FALSE,"","",""),"",""),,counta(split(substitute(substitute(join("","",J236:AN236)&amp;"","",""TRUE,"",""x""),""FALSE,"","",""),"",""))"&amp;")))"),0.0)</f>
        <v>0</v>
      </c>
      <c r="AR236" s="25" t="str">
        <f>IFERROR(__xludf.DUMMYFUNCTION("arrayformula( if( sum(J236:AN236 + 0), max( len( split( concatenate( left(J236:AN236) ), ""F"" ) ) ), ""0"" ) )"),"0")</f>
        <v>0</v>
      </c>
      <c r="AS236" s="26">
        <v>20.0</v>
      </c>
      <c r="AT236" s="27">
        <f t="shared" si="136"/>
        <v>0</v>
      </c>
    </row>
    <row r="237">
      <c r="A237" s="31">
        <f t="shared" si="138"/>
        <v>47</v>
      </c>
      <c r="B237" s="30">
        <f t="shared" si="139"/>
        <v>46342</v>
      </c>
      <c r="C237" s="30">
        <f t="shared" ref="C237:H237" si="141">B237+1</f>
        <v>46343</v>
      </c>
      <c r="D237" s="30">
        <f t="shared" si="141"/>
        <v>46344</v>
      </c>
      <c r="E237" s="30">
        <f t="shared" si="141"/>
        <v>46345</v>
      </c>
      <c r="F237" s="30">
        <f t="shared" si="141"/>
        <v>46346</v>
      </c>
      <c r="G237" s="30">
        <f t="shared" si="141"/>
        <v>46347</v>
      </c>
      <c r="H237" s="30">
        <f t="shared" si="141"/>
        <v>46348</v>
      </c>
      <c r="I237" s="6" t="s">
        <v>17</v>
      </c>
      <c r="J237" s="38" t="b">
        <v>0</v>
      </c>
      <c r="K237" s="38" t="b">
        <v>0</v>
      </c>
      <c r="L237" s="38" t="b">
        <v>0</v>
      </c>
      <c r="M237" s="38" t="b">
        <v>0</v>
      </c>
      <c r="N237" s="38" t="b">
        <v>0</v>
      </c>
      <c r="O237" s="38" t="b">
        <v>0</v>
      </c>
      <c r="P237" s="38" t="b">
        <v>0</v>
      </c>
      <c r="Q237" s="38" t="b">
        <v>0</v>
      </c>
      <c r="R237" s="38" t="b">
        <v>0</v>
      </c>
      <c r="S237" s="38" t="b">
        <v>0</v>
      </c>
      <c r="T237" s="38" t="b">
        <v>0</v>
      </c>
      <c r="U237" s="38" t="b">
        <v>0</v>
      </c>
      <c r="V237" s="38" t="b">
        <v>0</v>
      </c>
      <c r="W237" s="38" t="b">
        <v>0</v>
      </c>
      <c r="X237" s="38" t="b">
        <v>0</v>
      </c>
      <c r="Y237" s="38" t="b">
        <v>0</v>
      </c>
      <c r="Z237" s="38" t="b">
        <v>0</v>
      </c>
      <c r="AA237" s="38" t="b">
        <v>0</v>
      </c>
      <c r="AB237" s="38" t="b">
        <v>0</v>
      </c>
      <c r="AC237" s="38" t="b">
        <v>0</v>
      </c>
      <c r="AD237" s="38" t="b">
        <v>0</v>
      </c>
      <c r="AE237" s="38" t="b">
        <v>0</v>
      </c>
      <c r="AF237" s="38" t="b">
        <v>0</v>
      </c>
      <c r="AG237" s="38" t="b">
        <v>0</v>
      </c>
      <c r="AH237" s="38" t="b">
        <v>0</v>
      </c>
      <c r="AI237" s="38" t="b">
        <v>0</v>
      </c>
      <c r="AJ237" s="38" t="b">
        <v>0</v>
      </c>
      <c r="AK237" s="38" t="b">
        <v>0</v>
      </c>
      <c r="AL237" s="38" t="b">
        <v>0</v>
      </c>
      <c r="AM237" s="38" t="b">
        <v>0</v>
      </c>
      <c r="AN237" s="38"/>
      <c r="AO237" s="25">
        <f t="shared" si="135"/>
        <v>0</v>
      </c>
      <c r="AQ237" s="25">
        <f>IFERROR(__xludf.DUMMYFUNCTION("if(iserror(match(true,J237:AN237,0)),0,len(index(split(substitute(substitute(join("","",J237:AN237)&amp;"","",""TRUE,"",""x""),""FALSE,"","",""),"",""),,counta(split(substitute(substitute(join("","",J237:AN237)&amp;"","",""TRUE,"",""x""),""FALSE,"","",""),"",""))"&amp;")))"),0.0)</f>
        <v>0</v>
      </c>
      <c r="AR237" s="25" t="str">
        <f>IFERROR(__xludf.DUMMYFUNCTION("arrayformula( if( sum(J237:AN237 + 0), max( len( split( concatenate( left(J237:AN237) ), ""F"" ) ) ), ""0"" ) )"),"0")</f>
        <v>0</v>
      </c>
      <c r="AS237" s="26">
        <v>20.0</v>
      </c>
      <c r="AT237" s="27">
        <f t="shared" si="136"/>
        <v>0</v>
      </c>
    </row>
    <row r="238">
      <c r="A238" s="31">
        <f t="shared" si="138"/>
        <v>48</v>
      </c>
      <c r="B238" s="30">
        <f t="shared" si="139"/>
        <v>46349</v>
      </c>
      <c r="C238" s="30">
        <f t="shared" ref="C238:H238" si="142">B238+1</f>
        <v>46350</v>
      </c>
      <c r="D238" s="30">
        <f t="shared" si="142"/>
        <v>46351</v>
      </c>
      <c r="E238" s="30">
        <f t="shared" si="142"/>
        <v>46352</v>
      </c>
      <c r="F238" s="30">
        <f t="shared" si="142"/>
        <v>46353</v>
      </c>
      <c r="G238" s="30">
        <f t="shared" si="142"/>
        <v>46354</v>
      </c>
      <c r="H238" s="30">
        <f t="shared" si="142"/>
        <v>46355</v>
      </c>
      <c r="I238" s="6" t="s">
        <v>20</v>
      </c>
      <c r="J238" s="38" t="b">
        <v>0</v>
      </c>
      <c r="K238" s="38" t="b">
        <v>0</v>
      </c>
      <c r="L238" s="38" t="b">
        <v>0</v>
      </c>
      <c r="M238" s="38" t="b">
        <v>0</v>
      </c>
      <c r="N238" s="38" t="b">
        <v>0</v>
      </c>
      <c r="O238" s="38" t="b">
        <v>0</v>
      </c>
      <c r="P238" s="38" t="b">
        <v>0</v>
      </c>
      <c r="Q238" s="38" t="b">
        <v>0</v>
      </c>
      <c r="R238" s="38" t="b">
        <v>0</v>
      </c>
      <c r="S238" s="38" t="b">
        <v>0</v>
      </c>
      <c r="T238" s="38" t="b">
        <v>0</v>
      </c>
      <c r="U238" s="38" t="b">
        <v>0</v>
      </c>
      <c r="V238" s="38" t="b">
        <v>0</v>
      </c>
      <c r="W238" s="38" t="b">
        <v>0</v>
      </c>
      <c r="X238" s="38" t="b">
        <v>0</v>
      </c>
      <c r="Y238" s="38" t="b">
        <v>0</v>
      </c>
      <c r="Z238" s="38" t="b">
        <v>0</v>
      </c>
      <c r="AA238" s="38" t="b">
        <v>0</v>
      </c>
      <c r="AB238" s="38" t="b">
        <v>0</v>
      </c>
      <c r="AC238" s="38" t="b">
        <v>0</v>
      </c>
      <c r="AD238" s="38" t="b">
        <v>0</v>
      </c>
      <c r="AE238" s="38" t="b">
        <v>0</v>
      </c>
      <c r="AF238" s="38" t="b">
        <v>0</v>
      </c>
      <c r="AG238" s="38" t="b">
        <v>0</v>
      </c>
      <c r="AH238" s="38" t="b">
        <v>0</v>
      </c>
      <c r="AI238" s="38" t="b">
        <v>0</v>
      </c>
      <c r="AJ238" s="38" t="b">
        <v>0</v>
      </c>
      <c r="AK238" s="38" t="b">
        <v>0</v>
      </c>
      <c r="AL238" s="38" t="b">
        <v>0</v>
      </c>
      <c r="AM238" s="38" t="b">
        <v>0</v>
      </c>
      <c r="AN238" s="38"/>
      <c r="AO238" s="25">
        <f t="shared" si="135"/>
        <v>0</v>
      </c>
      <c r="AQ238" s="25">
        <f>IFERROR(__xludf.DUMMYFUNCTION("if(iserror(match(true,J238:AN238,0)),0,len(index(split(substitute(substitute(join("","",J238:AN238)&amp;"","",""TRUE,"",""x""),""FALSE,"","",""),"",""),,counta(split(substitute(substitute(join("","",J238:AN238)&amp;"","",""TRUE,"",""x""),""FALSE,"","",""),"",""))"&amp;")))"),0.0)</f>
        <v>0</v>
      </c>
      <c r="AR238" s="25" t="str">
        <f>IFERROR(__xludf.DUMMYFUNCTION("arrayformula( if( sum(J238:AN238 + 0), max( len( split( concatenate( left(J238:AN238) ), ""F"" ) ) ), ""0"" ) )"),"0")</f>
        <v>0</v>
      </c>
      <c r="AS238" s="26">
        <v>15.0</v>
      </c>
      <c r="AT238" s="27">
        <f t="shared" si="136"/>
        <v>0</v>
      </c>
    </row>
    <row r="239">
      <c r="A239" s="31">
        <f t="shared" si="138"/>
        <v>49</v>
      </c>
      <c r="B239" s="30">
        <f t="shared" si="139"/>
        <v>46356</v>
      </c>
      <c r="C239" s="30">
        <f t="shared" ref="C239:H239" si="143">B239+1</f>
        <v>46357</v>
      </c>
      <c r="D239" s="30">
        <f t="shared" si="143"/>
        <v>46358</v>
      </c>
      <c r="E239" s="30">
        <f t="shared" si="143"/>
        <v>46359</v>
      </c>
      <c r="F239" s="30">
        <f t="shared" si="143"/>
        <v>46360</v>
      </c>
      <c r="G239" s="30">
        <f t="shared" si="143"/>
        <v>46361</v>
      </c>
      <c r="H239" s="30">
        <f t="shared" si="143"/>
        <v>46362</v>
      </c>
      <c r="I239" s="6"/>
      <c r="J239" s="38" t="b">
        <v>0</v>
      </c>
      <c r="K239" s="38" t="b">
        <v>0</v>
      </c>
      <c r="L239" s="38" t="b">
        <v>0</v>
      </c>
      <c r="M239" s="38" t="b">
        <v>0</v>
      </c>
      <c r="N239" s="38" t="b">
        <v>0</v>
      </c>
      <c r="O239" s="38" t="b">
        <v>0</v>
      </c>
      <c r="P239" s="38" t="b">
        <v>0</v>
      </c>
      <c r="Q239" s="38" t="b">
        <v>0</v>
      </c>
      <c r="R239" s="38" t="b">
        <v>0</v>
      </c>
      <c r="S239" s="38" t="b">
        <v>0</v>
      </c>
      <c r="T239" s="38" t="b">
        <v>0</v>
      </c>
      <c r="U239" s="38" t="b">
        <v>0</v>
      </c>
      <c r="V239" s="38" t="b">
        <v>0</v>
      </c>
      <c r="W239" s="38" t="b">
        <v>0</v>
      </c>
      <c r="X239" s="38" t="b">
        <v>0</v>
      </c>
      <c r="Y239" s="38" t="b">
        <v>0</v>
      </c>
      <c r="Z239" s="38" t="b">
        <v>0</v>
      </c>
      <c r="AA239" s="38" t="b">
        <v>0</v>
      </c>
      <c r="AB239" s="38" t="b">
        <v>0</v>
      </c>
      <c r="AC239" s="38" t="b">
        <v>0</v>
      </c>
      <c r="AD239" s="38" t="b">
        <v>0</v>
      </c>
      <c r="AE239" s="38" t="b">
        <v>0</v>
      </c>
      <c r="AF239" s="38" t="b">
        <v>0</v>
      </c>
      <c r="AG239" s="38" t="b">
        <v>0</v>
      </c>
      <c r="AH239" s="38" t="b">
        <v>0</v>
      </c>
      <c r="AI239" s="38" t="b">
        <v>0</v>
      </c>
      <c r="AJ239" s="38" t="b">
        <v>0</v>
      </c>
      <c r="AK239" s="38" t="b">
        <v>0</v>
      </c>
      <c r="AL239" s="38" t="b">
        <v>0</v>
      </c>
      <c r="AM239" s="38" t="b">
        <v>0</v>
      </c>
      <c r="AN239" s="38"/>
      <c r="AO239" s="25">
        <f t="shared" si="135"/>
        <v>0</v>
      </c>
      <c r="AQ239" s="25">
        <f>IFERROR(__xludf.DUMMYFUNCTION("if(iserror(match(true,J239:AN239,0)),0,len(index(split(substitute(substitute(join("","",J239:AN239)&amp;"","",""TRUE,"",""x""),""FALSE,"","",""),"",""),,counta(split(substitute(substitute(join("","",J239:AN239)&amp;"","",""TRUE,"",""x""),""FALSE,"","",""),"",""))"&amp;")))"),0.0)</f>
        <v>0</v>
      </c>
      <c r="AR239" s="25" t="str">
        <f>IFERROR(__xludf.DUMMYFUNCTION("arrayformula( if( sum(J239:AN239 + 0), max( len( split( concatenate( left(J239:AN239) ), ""F"" ) ) ), ""0"" ) )"),"0")</f>
        <v>0</v>
      </c>
      <c r="AS239" s="26">
        <v>15.0</v>
      </c>
      <c r="AT239" s="27">
        <f t="shared" si="136"/>
        <v>0</v>
      </c>
    </row>
    <row r="240" hidden="1">
      <c r="A240" s="39"/>
      <c r="B240" s="40"/>
      <c r="C240" s="40"/>
      <c r="D240" s="40"/>
      <c r="E240" s="40"/>
      <c r="F240" s="41"/>
      <c r="G240" s="41"/>
      <c r="H240" s="41"/>
      <c r="I240" s="6"/>
      <c r="J240" s="38" t="b">
        <v>0</v>
      </c>
      <c r="K240" s="38" t="b">
        <v>0</v>
      </c>
      <c r="L240" s="38" t="b">
        <v>0</v>
      </c>
      <c r="M240" s="38" t="b">
        <v>0</v>
      </c>
      <c r="N240" s="38" t="b">
        <v>0</v>
      </c>
      <c r="O240" s="38" t="b">
        <v>0</v>
      </c>
      <c r="P240" s="38" t="b">
        <v>0</v>
      </c>
      <c r="Q240" s="38" t="b">
        <v>0</v>
      </c>
      <c r="R240" s="38" t="b">
        <v>0</v>
      </c>
      <c r="S240" s="38" t="b">
        <v>0</v>
      </c>
      <c r="T240" s="38" t="b">
        <v>0</v>
      </c>
      <c r="U240" s="38" t="b">
        <v>0</v>
      </c>
      <c r="V240" s="38" t="b">
        <v>0</v>
      </c>
      <c r="W240" s="38" t="b">
        <v>0</v>
      </c>
      <c r="X240" s="38" t="b">
        <v>0</v>
      </c>
      <c r="Y240" s="38" t="b">
        <v>0</v>
      </c>
      <c r="Z240" s="38" t="b">
        <v>0</v>
      </c>
      <c r="AA240" s="38" t="b">
        <v>0</v>
      </c>
      <c r="AB240" s="38" t="b">
        <v>0</v>
      </c>
      <c r="AC240" s="38" t="b">
        <v>0</v>
      </c>
      <c r="AD240" s="38" t="b">
        <v>0</v>
      </c>
      <c r="AE240" s="38" t="b">
        <v>0</v>
      </c>
      <c r="AF240" s="38" t="b">
        <v>0</v>
      </c>
      <c r="AG240" s="38" t="b">
        <v>0</v>
      </c>
      <c r="AH240" s="38" t="b">
        <v>0</v>
      </c>
      <c r="AI240" s="38" t="b">
        <v>0</v>
      </c>
      <c r="AJ240" s="38" t="b">
        <v>0</v>
      </c>
      <c r="AK240" s="38" t="b">
        <v>0</v>
      </c>
      <c r="AL240" s="38" t="b">
        <v>0</v>
      </c>
      <c r="AM240" s="38" t="b">
        <v>0</v>
      </c>
      <c r="AN240" s="38"/>
      <c r="AO240" s="25">
        <f t="shared" si="135"/>
        <v>0</v>
      </c>
      <c r="AQ240" s="25">
        <f>IFERROR(__xludf.DUMMYFUNCTION("if(iserror(match(true,J240:AN240,0)),0,len(index(split(substitute(substitute(join("","",J240:AN240)&amp;"","",""TRUE,"",""x""),""FALSE,"","",""),"",""),,counta(split(substitute(substitute(join("","",J240:AN240)&amp;"","",""TRUE,"",""x""),""FALSE,"","",""),"",""))"&amp;")))"),0.0)</f>
        <v>0</v>
      </c>
      <c r="AR240" s="25" t="str">
        <f>IFERROR(__xludf.DUMMYFUNCTION("arrayformula( if( sum(J240:AN240 + 0), max( len( split( concatenate( left(J240:AN240) ), ""F"" ) ) ), ""0"" ) )"),"0")</f>
        <v>0</v>
      </c>
      <c r="AS240" s="26">
        <v>15.0</v>
      </c>
      <c r="AT240" s="27">
        <f t="shared" si="136"/>
        <v>0</v>
      </c>
    </row>
    <row r="241" hidden="1">
      <c r="A241" s="39"/>
      <c r="B241" s="40"/>
      <c r="C241" s="40"/>
      <c r="D241" s="40"/>
      <c r="E241" s="40"/>
      <c r="F241" s="41"/>
      <c r="G241" s="41"/>
      <c r="H241" s="41"/>
      <c r="I241" s="6"/>
      <c r="J241" s="38" t="b">
        <v>0</v>
      </c>
      <c r="K241" s="38" t="b">
        <v>0</v>
      </c>
      <c r="L241" s="38" t="b">
        <v>0</v>
      </c>
      <c r="M241" s="38" t="b">
        <v>0</v>
      </c>
      <c r="N241" s="38" t="b">
        <v>0</v>
      </c>
      <c r="O241" s="38" t="b">
        <v>0</v>
      </c>
      <c r="P241" s="38" t="b">
        <v>0</v>
      </c>
      <c r="Q241" s="38" t="b">
        <v>0</v>
      </c>
      <c r="R241" s="38" t="b">
        <v>0</v>
      </c>
      <c r="S241" s="38" t="b">
        <v>0</v>
      </c>
      <c r="T241" s="38" t="b">
        <v>0</v>
      </c>
      <c r="U241" s="38" t="b">
        <v>0</v>
      </c>
      <c r="V241" s="38" t="b">
        <v>0</v>
      </c>
      <c r="W241" s="38" t="b">
        <v>0</v>
      </c>
      <c r="X241" s="38" t="b">
        <v>0</v>
      </c>
      <c r="Y241" s="38" t="b">
        <v>0</v>
      </c>
      <c r="Z241" s="38" t="b">
        <v>0</v>
      </c>
      <c r="AA241" s="38" t="b">
        <v>0</v>
      </c>
      <c r="AB241" s="38" t="b">
        <v>0</v>
      </c>
      <c r="AC241" s="38" t="b">
        <v>0</v>
      </c>
      <c r="AD241" s="38" t="b">
        <v>0</v>
      </c>
      <c r="AE241" s="38" t="b">
        <v>0</v>
      </c>
      <c r="AF241" s="38" t="b">
        <v>0</v>
      </c>
      <c r="AG241" s="38" t="b">
        <v>0</v>
      </c>
      <c r="AH241" s="38" t="b">
        <v>0</v>
      </c>
      <c r="AI241" s="38" t="b">
        <v>0</v>
      </c>
      <c r="AJ241" s="38" t="b">
        <v>0</v>
      </c>
      <c r="AK241" s="38" t="b">
        <v>0</v>
      </c>
      <c r="AL241" s="38" t="b">
        <v>0</v>
      </c>
      <c r="AM241" s="38" t="b">
        <v>0</v>
      </c>
      <c r="AN241" s="38"/>
      <c r="AO241" s="25">
        <f t="shared" si="135"/>
        <v>0</v>
      </c>
      <c r="AQ241" s="25">
        <f>IFERROR(__xludf.DUMMYFUNCTION("if(iserror(match(true,J241:AN241,0)),0,len(index(split(substitute(substitute(join("","",J241:AN241)&amp;"","",""TRUE,"",""x""),""FALSE,"","",""),"",""),,counta(split(substitute(substitute(join("","",J241:AN241)&amp;"","",""TRUE,"",""x""),""FALSE,"","",""),"",""))"&amp;")))"),0.0)</f>
        <v>0</v>
      </c>
      <c r="AR241" s="25" t="str">
        <f>IFERROR(__xludf.DUMMYFUNCTION("arrayformula( if( sum(J241:AN241 + 0), max( len( split( concatenate( left(J241:AN241) ), ""F"" ) ) ), ""0"" ) )"),"0")</f>
        <v>0</v>
      </c>
      <c r="AS241" s="26">
        <v>15.0</v>
      </c>
      <c r="AT241" s="27">
        <f t="shared" si="136"/>
        <v>0</v>
      </c>
    </row>
    <row r="242" hidden="1">
      <c r="A242" s="39"/>
      <c r="B242" s="40"/>
      <c r="C242" s="40"/>
      <c r="D242" s="40"/>
      <c r="E242" s="40"/>
      <c r="F242" s="41"/>
      <c r="G242" s="41"/>
      <c r="H242" s="41"/>
      <c r="I242" s="6"/>
      <c r="J242" s="38" t="b">
        <v>0</v>
      </c>
      <c r="K242" s="38" t="b">
        <v>0</v>
      </c>
      <c r="L242" s="38" t="b">
        <v>0</v>
      </c>
      <c r="M242" s="38" t="b">
        <v>0</v>
      </c>
      <c r="N242" s="38" t="b">
        <v>0</v>
      </c>
      <c r="O242" s="38" t="b">
        <v>0</v>
      </c>
      <c r="P242" s="38" t="b">
        <v>0</v>
      </c>
      <c r="Q242" s="38" t="b">
        <v>0</v>
      </c>
      <c r="R242" s="38" t="b">
        <v>0</v>
      </c>
      <c r="S242" s="38" t="b">
        <v>0</v>
      </c>
      <c r="T242" s="38" t="b">
        <v>0</v>
      </c>
      <c r="U242" s="38" t="b">
        <v>0</v>
      </c>
      <c r="V242" s="38" t="b">
        <v>0</v>
      </c>
      <c r="W242" s="38" t="b">
        <v>0</v>
      </c>
      <c r="X242" s="38" t="b">
        <v>0</v>
      </c>
      <c r="Y242" s="38" t="b">
        <v>0</v>
      </c>
      <c r="Z242" s="38" t="b">
        <v>0</v>
      </c>
      <c r="AA242" s="38" t="b">
        <v>0</v>
      </c>
      <c r="AB242" s="38" t="b">
        <v>0</v>
      </c>
      <c r="AC242" s="38" t="b">
        <v>0</v>
      </c>
      <c r="AD242" s="38" t="b">
        <v>0</v>
      </c>
      <c r="AE242" s="38" t="b">
        <v>0</v>
      </c>
      <c r="AF242" s="38" t="b">
        <v>0</v>
      </c>
      <c r="AG242" s="38" t="b">
        <v>0</v>
      </c>
      <c r="AH242" s="38" t="b">
        <v>0</v>
      </c>
      <c r="AI242" s="38" t="b">
        <v>0</v>
      </c>
      <c r="AJ242" s="38" t="b">
        <v>0</v>
      </c>
      <c r="AK242" s="38" t="b">
        <v>0</v>
      </c>
      <c r="AL242" s="38" t="b">
        <v>0</v>
      </c>
      <c r="AM242" s="38" t="b">
        <v>0</v>
      </c>
      <c r="AN242" s="38"/>
      <c r="AO242" s="25">
        <f t="shared" si="135"/>
        <v>0</v>
      </c>
      <c r="AQ242" s="25">
        <f>IFERROR(__xludf.DUMMYFUNCTION("if(iserror(match(true,J242:AN242,0)),0,len(index(split(substitute(substitute(join("","",J242:AN242)&amp;"","",""TRUE,"",""x""),""FALSE,"","",""),"",""),,counta(split(substitute(substitute(join("","",J242:AN242)&amp;"","",""TRUE,"",""x""),""FALSE,"","",""),"",""))"&amp;")))"),0.0)</f>
        <v>0</v>
      </c>
      <c r="AR242" s="25" t="str">
        <f>IFERROR(__xludf.DUMMYFUNCTION("arrayformula( if( sum(J242:AN242 + 0), max( len( split( concatenate( left(J242:AN242) ), ""F"" ) ) ), ""0"" ) )"),"0")</f>
        <v>0</v>
      </c>
      <c r="AS242" s="26">
        <v>15.0</v>
      </c>
      <c r="AT242" s="27">
        <f t="shared" si="136"/>
        <v>0</v>
      </c>
    </row>
    <row r="243" hidden="1">
      <c r="A243" s="39"/>
      <c r="B243" s="40"/>
      <c r="C243" s="40"/>
      <c r="D243" s="40"/>
      <c r="E243" s="40"/>
      <c r="F243" s="41"/>
      <c r="G243" s="41"/>
      <c r="H243" s="41"/>
      <c r="I243" s="6"/>
      <c r="J243" s="38" t="b">
        <v>0</v>
      </c>
      <c r="K243" s="38" t="b">
        <v>0</v>
      </c>
      <c r="L243" s="38" t="b">
        <v>0</v>
      </c>
      <c r="M243" s="38" t="b">
        <v>0</v>
      </c>
      <c r="N243" s="38" t="b">
        <v>0</v>
      </c>
      <c r="O243" s="38" t="b">
        <v>0</v>
      </c>
      <c r="P243" s="38" t="b">
        <v>0</v>
      </c>
      <c r="Q243" s="38" t="b">
        <v>0</v>
      </c>
      <c r="R243" s="38" t="b">
        <v>0</v>
      </c>
      <c r="S243" s="38" t="b">
        <v>0</v>
      </c>
      <c r="T243" s="38" t="b">
        <v>0</v>
      </c>
      <c r="U243" s="38" t="b">
        <v>0</v>
      </c>
      <c r="V243" s="38" t="b">
        <v>0</v>
      </c>
      <c r="W243" s="38" t="b">
        <v>0</v>
      </c>
      <c r="X243" s="38" t="b">
        <v>0</v>
      </c>
      <c r="Y243" s="38" t="b">
        <v>0</v>
      </c>
      <c r="Z243" s="38" t="b">
        <v>0</v>
      </c>
      <c r="AA243" s="38" t="b">
        <v>0</v>
      </c>
      <c r="AB243" s="38" t="b">
        <v>0</v>
      </c>
      <c r="AC243" s="38" t="b">
        <v>0</v>
      </c>
      <c r="AD243" s="38" t="b">
        <v>0</v>
      </c>
      <c r="AE243" s="38" t="b">
        <v>0</v>
      </c>
      <c r="AF243" s="38" t="b">
        <v>0</v>
      </c>
      <c r="AG243" s="38" t="b">
        <v>0</v>
      </c>
      <c r="AH243" s="38" t="b">
        <v>0</v>
      </c>
      <c r="AI243" s="38" t="b">
        <v>0</v>
      </c>
      <c r="AJ243" s="38" t="b">
        <v>0</v>
      </c>
      <c r="AK243" s="38" t="b">
        <v>0</v>
      </c>
      <c r="AL243" s="38" t="b">
        <v>0</v>
      </c>
      <c r="AM243" s="38" t="b">
        <v>0</v>
      </c>
      <c r="AN243" s="38"/>
      <c r="AO243" s="25">
        <f t="shared" si="135"/>
        <v>0</v>
      </c>
      <c r="AQ243" s="25">
        <f>IFERROR(__xludf.DUMMYFUNCTION("if(iserror(match(true,J243:AN243,0)),0,len(index(split(substitute(substitute(join("","",J243:AN243)&amp;"","",""TRUE,"",""x""),""FALSE,"","",""),"",""),,counta(split(substitute(substitute(join("","",J243:AN243)&amp;"","",""TRUE,"",""x""),""FALSE,"","",""),"",""))"&amp;")))"),0.0)</f>
        <v>0</v>
      </c>
      <c r="AR243" s="25" t="str">
        <f>IFERROR(__xludf.DUMMYFUNCTION("arrayformula( if( sum(J243:AN243 + 0), max( len( split( concatenate( left(J243:AN243) ), ""F"" ) ) ), ""0"" ) )"),"0")</f>
        <v>0</v>
      </c>
      <c r="AS243" s="26">
        <v>15.0</v>
      </c>
      <c r="AT243" s="27">
        <f t="shared" si="136"/>
        <v>0</v>
      </c>
    </row>
    <row r="244" hidden="1">
      <c r="A244" s="39"/>
      <c r="B244" s="40"/>
      <c r="C244" s="40"/>
      <c r="D244" s="40"/>
      <c r="E244" s="40"/>
      <c r="F244" s="41"/>
      <c r="G244" s="41"/>
      <c r="H244" s="41"/>
      <c r="I244" s="6"/>
      <c r="J244" s="38" t="b">
        <v>0</v>
      </c>
      <c r="K244" s="38" t="b">
        <v>0</v>
      </c>
      <c r="L244" s="38" t="b">
        <v>0</v>
      </c>
      <c r="M244" s="38" t="b">
        <v>0</v>
      </c>
      <c r="N244" s="38" t="b">
        <v>0</v>
      </c>
      <c r="O244" s="38" t="b">
        <v>0</v>
      </c>
      <c r="P244" s="38" t="b">
        <v>0</v>
      </c>
      <c r="Q244" s="38" t="b">
        <v>0</v>
      </c>
      <c r="R244" s="38" t="b">
        <v>0</v>
      </c>
      <c r="S244" s="38" t="b">
        <v>0</v>
      </c>
      <c r="T244" s="38" t="b">
        <v>0</v>
      </c>
      <c r="U244" s="38" t="b">
        <v>0</v>
      </c>
      <c r="V244" s="38" t="b">
        <v>0</v>
      </c>
      <c r="W244" s="38" t="b">
        <v>0</v>
      </c>
      <c r="X244" s="38" t="b">
        <v>0</v>
      </c>
      <c r="Y244" s="38" t="b">
        <v>0</v>
      </c>
      <c r="Z244" s="38" t="b">
        <v>0</v>
      </c>
      <c r="AA244" s="38" t="b">
        <v>0</v>
      </c>
      <c r="AB244" s="38" t="b">
        <v>0</v>
      </c>
      <c r="AC244" s="38" t="b">
        <v>0</v>
      </c>
      <c r="AD244" s="38" t="b">
        <v>0</v>
      </c>
      <c r="AE244" s="38" t="b">
        <v>0</v>
      </c>
      <c r="AF244" s="38" t="b">
        <v>0</v>
      </c>
      <c r="AG244" s="38" t="b">
        <v>0</v>
      </c>
      <c r="AH244" s="38" t="b">
        <v>0</v>
      </c>
      <c r="AI244" s="38" t="b">
        <v>0</v>
      </c>
      <c r="AJ244" s="38" t="b">
        <v>0</v>
      </c>
      <c r="AK244" s="38" t="b">
        <v>0</v>
      </c>
      <c r="AL244" s="38" t="b">
        <v>0</v>
      </c>
      <c r="AM244" s="38" t="b">
        <v>0</v>
      </c>
      <c r="AN244" s="38"/>
      <c r="AO244" s="25">
        <f t="shared" si="135"/>
        <v>0</v>
      </c>
      <c r="AQ244" s="25">
        <f>IFERROR(__xludf.DUMMYFUNCTION("if(iserror(match(true,J244:AN244,0)),0,len(index(split(substitute(substitute(join("","",J244:AN244)&amp;"","",""TRUE,"",""x""),""FALSE,"","",""),"",""),,counta(split(substitute(substitute(join("","",J244:AN244)&amp;"","",""TRUE,"",""x""),""FALSE,"","",""),"",""))"&amp;")))"),0.0)</f>
        <v>0</v>
      </c>
      <c r="AR244" s="25" t="str">
        <f>IFERROR(__xludf.DUMMYFUNCTION("arrayformula( if( sum(J244:AN244 + 0), max( len( split( concatenate( left(J244:AN244) ), ""F"" ) ) ), ""0"" ) )"),"0")</f>
        <v>0</v>
      </c>
      <c r="AS244" s="26">
        <v>15.0</v>
      </c>
      <c r="AT244" s="27">
        <f t="shared" si="136"/>
        <v>0</v>
      </c>
    </row>
    <row r="245" hidden="1">
      <c r="A245" s="39"/>
      <c r="B245" s="40"/>
      <c r="C245" s="40"/>
      <c r="D245" s="40"/>
      <c r="E245" s="40"/>
      <c r="F245" s="41"/>
      <c r="G245" s="41"/>
      <c r="H245" s="41"/>
      <c r="I245" s="6"/>
      <c r="J245" s="38" t="b">
        <v>0</v>
      </c>
      <c r="K245" s="38" t="b">
        <v>0</v>
      </c>
      <c r="L245" s="38" t="b">
        <v>0</v>
      </c>
      <c r="M245" s="38" t="b">
        <v>0</v>
      </c>
      <c r="N245" s="38" t="b">
        <v>0</v>
      </c>
      <c r="O245" s="38" t="b">
        <v>0</v>
      </c>
      <c r="P245" s="38" t="b">
        <v>0</v>
      </c>
      <c r="Q245" s="38" t="b">
        <v>0</v>
      </c>
      <c r="R245" s="38" t="b">
        <v>0</v>
      </c>
      <c r="S245" s="38" t="b">
        <v>0</v>
      </c>
      <c r="T245" s="38" t="b">
        <v>0</v>
      </c>
      <c r="U245" s="38" t="b">
        <v>0</v>
      </c>
      <c r="V245" s="38" t="b">
        <v>0</v>
      </c>
      <c r="W245" s="38" t="b">
        <v>0</v>
      </c>
      <c r="X245" s="38" t="b">
        <v>0</v>
      </c>
      <c r="Y245" s="38" t="b">
        <v>0</v>
      </c>
      <c r="Z245" s="38" t="b">
        <v>0</v>
      </c>
      <c r="AA245" s="38" t="b">
        <v>0</v>
      </c>
      <c r="AB245" s="38" t="b">
        <v>0</v>
      </c>
      <c r="AC245" s="38" t="b">
        <v>0</v>
      </c>
      <c r="AD245" s="38" t="b">
        <v>0</v>
      </c>
      <c r="AE245" s="38" t="b">
        <v>0</v>
      </c>
      <c r="AF245" s="38" t="b">
        <v>0</v>
      </c>
      <c r="AG245" s="38" t="b">
        <v>0</v>
      </c>
      <c r="AH245" s="38" t="b">
        <v>0</v>
      </c>
      <c r="AI245" s="38" t="b">
        <v>0</v>
      </c>
      <c r="AJ245" s="38" t="b">
        <v>0</v>
      </c>
      <c r="AK245" s="38" t="b">
        <v>0</v>
      </c>
      <c r="AL245" s="38" t="b">
        <v>0</v>
      </c>
      <c r="AM245" s="38" t="b">
        <v>0</v>
      </c>
      <c r="AN245" s="38"/>
      <c r="AO245" s="25">
        <f t="shared" si="135"/>
        <v>0</v>
      </c>
      <c r="AQ245" s="25">
        <f>IFERROR(__xludf.DUMMYFUNCTION("if(iserror(match(true,J245:AN245,0)),0,len(index(split(substitute(substitute(join("","",J245:AN245)&amp;"","",""TRUE,"",""x""),""FALSE,"","",""),"",""),,counta(split(substitute(substitute(join("","",J245:AN245)&amp;"","",""TRUE,"",""x""),""FALSE,"","",""),"",""))"&amp;")))"),0.0)</f>
        <v>0</v>
      </c>
      <c r="AR245" s="25" t="str">
        <f>IFERROR(__xludf.DUMMYFUNCTION("arrayformula( if( sum(J245:AN245 + 0), max( len( split( concatenate( left(J245:AN245) ), ""F"" ) ) ), ""0"" ) )"),"0")</f>
        <v>0</v>
      </c>
      <c r="AS245" s="26">
        <v>15.0</v>
      </c>
      <c r="AT245" s="27">
        <f t="shared" si="136"/>
        <v>0</v>
      </c>
    </row>
    <row r="246" hidden="1">
      <c r="A246" s="39"/>
      <c r="B246" s="40"/>
      <c r="C246" s="40"/>
      <c r="D246" s="40"/>
      <c r="E246" s="40"/>
      <c r="F246" s="41"/>
      <c r="G246" s="41"/>
      <c r="H246" s="41"/>
      <c r="I246" s="6"/>
      <c r="J246" s="38" t="b">
        <v>0</v>
      </c>
      <c r="K246" s="38" t="b">
        <v>0</v>
      </c>
      <c r="L246" s="38" t="b">
        <v>0</v>
      </c>
      <c r="M246" s="38" t="b">
        <v>0</v>
      </c>
      <c r="N246" s="38" t="b">
        <v>0</v>
      </c>
      <c r="O246" s="38" t="b">
        <v>0</v>
      </c>
      <c r="P246" s="38" t="b">
        <v>0</v>
      </c>
      <c r="Q246" s="38" t="b">
        <v>0</v>
      </c>
      <c r="R246" s="38" t="b">
        <v>0</v>
      </c>
      <c r="S246" s="38" t="b">
        <v>0</v>
      </c>
      <c r="T246" s="38" t="b">
        <v>0</v>
      </c>
      <c r="U246" s="38" t="b">
        <v>0</v>
      </c>
      <c r="V246" s="38" t="b">
        <v>0</v>
      </c>
      <c r="W246" s="38" t="b">
        <v>0</v>
      </c>
      <c r="X246" s="38" t="b">
        <v>0</v>
      </c>
      <c r="Y246" s="38" t="b">
        <v>0</v>
      </c>
      <c r="Z246" s="38" t="b">
        <v>0</v>
      </c>
      <c r="AA246" s="38" t="b">
        <v>0</v>
      </c>
      <c r="AB246" s="38" t="b">
        <v>0</v>
      </c>
      <c r="AC246" s="38" t="b">
        <v>0</v>
      </c>
      <c r="AD246" s="38" t="b">
        <v>0</v>
      </c>
      <c r="AE246" s="38" t="b">
        <v>0</v>
      </c>
      <c r="AF246" s="38" t="b">
        <v>0</v>
      </c>
      <c r="AG246" s="38" t="b">
        <v>0</v>
      </c>
      <c r="AH246" s="38" t="b">
        <v>0</v>
      </c>
      <c r="AI246" s="38" t="b">
        <v>0</v>
      </c>
      <c r="AJ246" s="38" t="b">
        <v>0</v>
      </c>
      <c r="AK246" s="38" t="b">
        <v>0</v>
      </c>
      <c r="AL246" s="38" t="b">
        <v>0</v>
      </c>
      <c r="AM246" s="38" t="b">
        <v>0</v>
      </c>
      <c r="AN246" s="38"/>
      <c r="AO246" s="25">
        <f t="shared" si="135"/>
        <v>0</v>
      </c>
      <c r="AQ246" s="25">
        <f>IFERROR(__xludf.DUMMYFUNCTION("if(iserror(match(true,J246:AN246,0)),0,len(index(split(substitute(substitute(join("","",J246:AN246)&amp;"","",""TRUE,"",""x""),""FALSE,"","",""),"",""),,counta(split(substitute(substitute(join("","",J246:AN246)&amp;"","",""TRUE,"",""x""),""FALSE,"","",""),"",""))"&amp;")))"),0.0)</f>
        <v>0</v>
      </c>
      <c r="AR246" s="25" t="str">
        <f>IFERROR(__xludf.DUMMYFUNCTION("arrayformula( if( sum(J246:AN246 + 0), max( len( split( concatenate( left(J246:AN246) ), ""F"" ) ) ), ""0"" ) )"),"0")</f>
        <v>0</v>
      </c>
      <c r="AS246" s="26">
        <v>15.0</v>
      </c>
      <c r="AT246" s="27">
        <f t="shared" si="136"/>
        <v>0</v>
      </c>
    </row>
    <row r="247" hidden="1">
      <c r="A247" s="39"/>
      <c r="B247" s="40"/>
      <c r="C247" s="40"/>
      <c r="D247" s="40"/>
      <c r="E247" s="40"/>
      <c r="F247" s="41"/>
      <c r="G247" s="41"/>
      <c r="H247" s="41"/>
      <c r="I247" s="6"/>
      <c r="J247" s="38" t="b">
        <v>0</v>
      </c>
      <c r="K247" s="38" t="b">
        <v>0</v>
      </c>
      <c r="L247" s="38" t="b">
        <v>0</v>
      </c>
      <c r="M247" s="38" t="b">
        <v>0</v>
      </c>
      <c r="N247" s="38" t="b">
        <v>0</v>
      </c>
      <c r="O247" s="38" t="b">
        <v>0</v>
      </c>
      <c r="P247" s="38" t="b">
        <v>0</v>
      </c>
      <c r="Q247" s="38" t="b">
        <v>0</v>
      </c>
      <c r="R247" s="38" t="b">
        <v>0</v>
      </c>
      <c r="S247" s="38" t="b">
        <v>0</v>
      </c>
      <c r="T247" s="38" t="b">
        <v>0</v>
      </c>
      <c r="U247" s="38" t="b">
        <v>0</v>
      </c>
      <c r="V247" s="38" t="b">
        <v>0</v>
      </c>
      <c r="W247" s="38" t="b">
        <v>0</v>
      </c>
      <c r="X247" s="38" t="b">
        <v>0</v>
      </c>
      <c r="Y247" s="38" t="b">
        <v>0</v>
      </c>
      <c r="Z247" s="38" t="b">
        <v>0</v>
      </c>
      <c r="AA247" s="38" t="b">
        <v>0</v>
      </c>
      <c r="AB247" s="38" t="b">
        <v>0</v>
      </c>
      <c r="AC247" s="38" t="b">
        <v>0</v>
      </c>
      <c r="AD247" s="38" t="b">
        <v>0</v>
      </c>
      <c r="AE247" s="38" t="b">
        <v>0</v>
      </c>
      <c r="AF247" s="38" t="b">
        <v>0</v>
      </c>
      <c r="AG247" s="38" t="b">
        <v>0</v>
      </c>
      <c r="AH247" s="38" t="b">
        <v>0</v>
      </c>
      <c r="AI247" s="38" t="b">
        <v>0</v>
      </c>
      <c r="AJ247" s="38" t="b">
        <v>0</v>
      </c>
      <c r="AK247" s="38" t="b">
        <v>0</v>
      </c>
      <c r="AL247" s="38" t="b">
        <v>0</v>
      </c>
      <c r="AM247" s="38" t="b">
        <v>0</v>
      </c>
      <c r="AN247" s="38"/>
      <c r="AO247" s="25">
        <f t="shared" si="135"/>
        <v>0</v>
      </c>
      <c r="AQ247" s="25">
        <f>IFERROR(__xludf.DUMMYFUNCTION("if(iserror(match(true,J247:AN247,0)),0,len(index(split(substitute(substitute(join("","",J247:AN247)&amp;"","",""TRUE,"",""x""),""FALSE,"","",""),"",""),,counta(split(substitute(substitute(join("","",J247:AN247)&amp;"","",""TRUE,"",""x""),""FALSE,"","",""),"",""))"&amp;")))"),0.0)</f>
        <v>0</v>
      </c>
      <c r="AR247" s="25" t="str">
        <f>IFERROR(__xludf.DUMMYFUNCTION("arrayformula( if( sum(J247:AN247 + 0), max( len( split( concatenate( left(J247:AN247) ), ""F"" ) ) ), ""0"" ) )"),"0")</f>
        <v>0</v>
      </c>
      <c r="AS247" s="26">
        <v>15.0</v>
      </c>
      <c r="AT247" s="27">
        <f t="shared" si="136"/>
        <v>0</v>
      </c>
    </row>
    <row r="248" hidden="1">
      <c r="A248" s="39"/>
      <c r="B248" s="40"/>
      <c r="C248" s="40"/>
      <c r="D248" s="40"/>
      <c r="E248" s="40"/>
      <c r="F248" s="41"/>
      <c r="G248" s="41"/>
      <c r="H248" s="41"/>
      <c r="I248" s="6"/>
      <c r="J248" s="38" t="b">
        <v>0</v>
      </c>
      <c r="K248" s="38" t="b">
        <v>0</v>
      </c>
      <c r="L248" s="38" t="b">
        <v>0</v>
      </c>
      <c r="M248" s="38" t="b">
        <v>0</v>
      </c>
      <c r="N248" s="38" t="b">
        <v>0</v>
      </c>
      <c r="O248" s="38" t="b">
        <v>0</v>
      </c>
      <c r="P248" s="38" t="b">
        <v>0</v>
      </c>
      <c r="Q248" s="38" t="b">
        <v>0</v>
      </c>
      <c r="R248" s="38" t="b">
        <v>0</v>
      </c>
      <c r="S248" s="38" t="b">
        <v>0</v>
      </c>
      <c r="T248" s="38" t="b">
        <v>0</v>
      </c>
      <c r="U248" s="38" t="b">
        <v>0</v>
      </c>
      <c r="V248" s="38" t="b">
        <v>0</v>
      </c>
      <c r="W248" s="38" t="b">
        <v>0</v>
      </c>
      <c r="X248" s="38" t="b">
        <v>0</v>
      </c>
      <c r="Y248" s="38" t="b">
        <v>0</v>
      </c>
      <c r="Z248" s="38" t="b">
        <v>0</v>
      </c>
      <c r="AA248" s="38" t="b">
        <v>0</v>
      </c>
      <c r="AB248" s="38" t="b">
        <v>0</v>
      </c>
      <c r="AC248" s="38" t="b">
        <v>0</v>
      </c>
      <c r="AD248" s="38" t="b">
        <v>0</v>
      </c>
      <c r="AE248" s="38" t="b">
        <v>0</v>
      </c>
      <c r="AF248" s="38" t="b">
        <v>0</v>
      </c>
      <c r="AG248" s="38" t="b">
        <v>0</v>
      </c>
      <c r="AH248" s="38" t="b">
        <v>0</v>
      </c>
      <c r="AI248" s="38" t="b">
        <v>0</v>
      </c>
      <c r="AJ248" s="38" t="b">
        <v>0</v>
      </c>
      <c r="AK248" s="38" t="b">
        <v>0</v>
      </c>
      <c r="AL248" s="38" t="b">
        <v>0</v>
      </c>
      <c r="AM248" s="38" t="b">
        <v>0</v>
      </c>
      <c r="AN248" s="38"/>
      <c r="AO248" s="25">
        <f t="shared" si="135"/>
        <v>0</v>
      </c>
      <c r="AQ248" s="25">
        <f>IFERROR(__xludf.DUMMYFUNCTION("if(iserror(match(true,J248:AN248,0)),0,len(index(split(substitute(substitute(join("","",J248:AN248)&amp;"","",""TRUE,"",""x""),""FALSE,"","",""),"",""),,counta(split(substitute(substitute(join("","",J248:AN248)&amp;"","",""TRUE,"",""x""),""FALSE,"","",""),"",""))"&amp;")))"),0.0)</f>
        <v>0</v>
      </c>
      <c r="AR248" s="25" t="str">
        <f>IFERROR(__xludf.DUMMYFUNCTION("arrayformula( if( sum(J248:AN248 + 0), max( len( split( concatenate( left(J248:AN248) ), ""F"" ) ) ), ""0"" ) )"),"0")</f>
        <v>0</v>
      </c>
      <c r="AS248" s="26">
        <v>15.0</v>
      </c>
      <c r="AT248" s="27">
        <f t="shared" si="136"/>
        <v>0</v>
      </c>
    </row>
    <row r="249" hidden="1">
      <c r="A249" s="39"/>
      <c r="B249" s="40"/>
      <c r="C249" s="40"/>
      <c r="D249" s="40"/>
      <c r="E249" s="40"/>
      <c r="F249" s="41"/>
      <c r="G249" s="41"/>
      <c r="H249" s="41"/>
      <c r="I249" s="6"/>
      <c r="J249" s="38" t="b">
        <v>0</v>
      </c>
      <c r="K249" s="38" t="b">
        <v>0</v>
      </c>
      <c r="L249" s="38" t="b">
        <v>0</v>
      </c>
      <c r="M249" s="38" t="b">
        <v>0</v>
      </c>
      <c r="N249" s="38" t="b">
        <v>0</v>
      </c>
      <c r="O249" s="38" t="b">
        <v>0</v>
      </c>
      <c r="P249" s="38" t="b">
        <v>0</v>
      </c>
      <c r="Q249" s="38" t="b">
        <v>0</v>
      </c>
      <c r="R249" s="38" t="b">
        <v>0</v>
      </c>
      <c r="S249" s="38" t="b">
        <v>0</v>
      </c>
      <c r="T249" s="38" t="b">
        <v>0</v>
      </c>
      <c r="U249" s="38" t="b">
        <v>0</v>
      </c>
      <c r="V249" s="38" t="b">
        <v>0</v>
      </c>
      <c r="W249" s="38" t="b">
        <v>0</v>
      </c>
      <c r="X249" s="38" t="b">
        <v>0</v>
      </c>
      <c r="Y249" s="38" t="b">
        <v>0</v>
      </c>
      <c r="Z249" s="38" t="b">
        <v>0</v>
      </c>
      <c r="AA249" s="38" t="b">
        <v>0</v>
      </c>
      <c r="AB249" s="38" t="b">
        <v>0</v>
      </c>
      <c r="AC249" s="38" t="b">
        <v>0</v>
      </c>
      <c r="AD249" s="38" t="b">
        <v>0</v>
      </c>
      <c r="AE249" s="38" t="b">
        <v>0</v>
      </c>
      <c r="AF249" s="38" t="b">
        <v>0</v>
      </c>
      <c r="AG249" s="38" t="b">
        <v>0</v>
      </c>
      <c r="AH249" s="38" t="b">
        <v>0</v>
      </c>
      <c r="AI249" s="38" t="b">
        <v>0</v>
      </c>
      <c r="AJ249" s="38" t="b">
        <v>0</v>
      </c>
      <c r="AK249" s="38" t="b">
        <v>0</v>
      </c>
      <c r="AL249" s="38" t="b">
        <v>0</v>
      </c>
      <c r="AM249" s="38" t="b">
        <v>0</v>
      </c>
      <c r="AN249" s="38"/>
      <c r="AO249" s="25">
        <f t="shared" si="135"/>
        <v>0</v>
      </c>
      <c r="AQ249" s="25">
        <f>IFERROR(__xludf.DUMMYFUNCTION("if(iserror(match(true,J249:AN249,0)),0,len(index(split(substitute(substitute(join("","",J249:AN249)&amp;"","",""TRUE,"",""x""),""FALSE,"","",""),"",""),,counta(split(substitute(substitute(join("","",J249:AN249)&amp;"","",""TRUE,"",""x""),""FALSE,"","",""),"",""))"&amp;")))"),0.0)</f>
        <v>0</v>
      </c>
      <c r="AR249" s="25" t="str">
        <f>IFERROR(__xludf.DUMMYFUNCTION("arrayformula( if( sum(J249:AN249 + 0), max( len( split( concatenate( left(J249:AN249) ), ""F"" ) ) ), ""0"" ) )"),"0")</f>
        <v>0</v>
      </c>
      <c r="AS249" s="26">
        <v>15.0</v>
      </c>
      <c r="AT249" s="27">
        <f t="shared" si="136"/>
        <v>0</v>
      </c>
    </row>
    <row r="250" hidden="1">
      <c r="A250" s="39"/>
      <c r="B250" s="40"/>
      <c r="C250" s="40"/>
      <c r="D250" s="40"/>
      <c r="E250" s="40"/>
      <c r="F250" s="41"/>
      <c r="G250" s="41"/>
      <c r="H250" s="41"/>
      <c r="I250" s="6"/>
      <c r="J250" s="38" t="b">
        <v>0</v>
      </c>
      <c r="K250" s="38" t="b">
        <v>0</v>
      </c>
      <c r="L250" s="38" t="b">
        <v>0</v>
      </c>
      <c r="M250" s="38" t="b">
        <v>0</v>
      </c>
      <c r="N250" s="38" t="b">
        <v>0</v>
      </c>
      <c r="O250" s="38" t="b">
        <v>0</v>
      </c>
      <c r="P250" s="38" t="b">
        <v>0</v>
      </c>
      <c r="Q250" s="38" t="b">
        <v>0</v>
      </c>
      <c r="R250" s="38" t="b">
        <v>0</v>
      </c>
      <c r="S250" s="38" t="b">
        <v>0</v>
      </c>
      <c r="T250" s="38" t="b">
        <v>0</v>
      </c>
      <c r="U250" s="38" t="b">
        <v>0</v>
      </c>
      <c r="V250" s="38" t="b">
        <v>0</v>
      </c>
      <c r="W250" s="38" t="b">
        <v>0</v>
      </c>
      <c r="X250" s="38" t="b">
        <v>0</v>
      </c>
      <c r="Y250" s="38" t="b">
        <v>0</v>
      </c>
      <c r="Z250" s="38" t="b">
        <v>0</v>
      </c>
      <c r="AA250" s="38" t="b">
        <v>0</v>
      </c>
      <c r="AB250" s="38" t="b">
        <v>0</v>
      </c>
      <c r="AC250" s="38" t="b">
        <v>0</v>
      </c>
      <c r="AD250" s="38" t="b">
        <v>0</v>
      </c>
      <c r="AE250" s="38" t="b">
        <v>0</v>
      </c>
      <c r="AF250" s="38" t="b">
        <v>0</v>
      </c>
      <c r="AG250" s="38" t="b">
        <v>0</v>
      </c>
      <c r="AH250" s="38" t="b">
        <v>0</v>
      </c>
      <c r="AI250" s="38" t="b">
        <v>0</v>
      </c>
      <c r="AJ250" s="38" t="b">
        <v>0</v>
      </c>
      <c r="AK250" s="38" t="b">
        <v>0</v>
      </c>
      <c r="AL250" s="38" t="b">
        <v>0</v>
      </c>
      <c r="AM250" s="38" t="b">
        <v>0</v>
      </c>
      <c r="AN250" s="38"/>
      <c r="AO250" s="25">
        <f t="shared" si="135"/>
        <v>0</v>
      </c>
      <c r="AQ250" s="25">
        <f>IFERROR(__xludf.DUMMYFUNCTION("if(iserror(match(true,J250:AN250,0)),0,len(index(split(substitute(substitute(join("","",J250:AN250)&amp;"","",""TRUE,"",""x""),""FALSE,"","",""),"",""),,counta(split(substitute(substitute(join("","",J250:AN250)&amp;"","",""TRUE,"",""x""),""FALSE,"","",""),"",""))"&amp;")))"),0.0)</f>
        <v>0</v>
      </c>
      <c r="AR250" s="25" t="str">
        <f>IFERROR(__xludf.DUMMYFUNCTION("arrayformula( if( sum(J250:AN250 + 0), max( len( split( concatenate( left(J250:AN250) ), ""F"" ) ) ), ""0"" ) )"),"0")</f>
        <v>0</v>
      </c>
      <c r="AS250" s="26">
        <v>15.0</v>
      </c>
      <c r="AT250" s="27">
        <f t="shared" si="136"/>
        <v>0</v>
      </c>
    </row>
    <row r="251" hidden="1">
      <c r="A251" s="39"/>
      <c r="B251" s="40"/>
      <c r="C251" s="40"/>
      <c r="D251" s="40"/>
      <c r="E251" s="40"/>
      <c r="F251" s="41"/>
      <c r="G251" s="41"/>
      <c r="H251" s="41"/>
      <c r="I251" s="6"/>
      <c r="J251" s="38" t="b">
        <v>0</v>
      </c>
      <c r="K251" s="38" t="b">
        <v>0</v>
      </c>
      <c r="L251" s="38" t="b">
        <v>0</v>
      </c>
      <c r="M251" s="38" t="b">
        <v>0</v>
      </c>
      <c r="N251" s="38" t="b">
        <v>0</v>
      </c>
      <c r="O251" s="38" t="b">
        <v>0</v>
      </c>
      <c r="P251" s="38" t="b">
        <v>0</v>
      </c>
      <c r="Q251" s="38" t="b">
        <v>0</v>
      </c>
      <c r="R251" s="38" t="b">
        <v>0</v>
      </c>
      <c r="S251" s="38" t="b">
        <v>0</v>
      </c>
      <c r="T251" s="38" t="b">
        <v>0</v>
      </c>
      <c r="U251" s="38" t="b">
        <v>0</v>
      </c>
      <c r="V251" s="38" t="b">
        <v>0</v>
      </c>
      <c r="W251" s="38" t="b">
        <v>0</v>
      </c>
      <c r="X251" s="38" t="b">
        <v>0</v>
      </c>
      <c r="Y251" s="38" t="b">
        <v>0</v>
      </c>
      <c r="Z251" s="38" t="b">
        <v>0</v>
      </c>
      <c r="AA251" s="38" t="b">
        <v>0</v>
      </c>
      <c r="AB251" s="38" t="b">
        <v>0</v>
      </c>
      <c r="AC251" s="38" t="b">
        <v>0</v>
      </c>
      <c r="AD251" s="38" t="b">
        <v>0</v>
      </c>
      <c r="AE251" s="38" t="b">
        <v>0</v>
      </c>
      <c r="AF251" s="38" t="b">
        <v>0</v>
      </c>
      <c r="AG251" s="38" t="b">
        <v>0</v>
      </c>
      <c r="AH251" s="38" t="b">
        <v>0</v>
      </c>
      <c r="AI251" s="38" t="b">
        <v>0</v>
      </c>
      <c r="AJ251" s="38" t="b">
        <v>0</v>
      </c>
      <c r="AK251" s="38" t="b">
        <v>0</v>
      </c>
      <c r="AL251" s="38" t="b">
        <v>0</v>
      </c>
      <c r="AM251" s="38" t="b">
        <v>0</v>
      </c>
      <c r="AN251" s="38"/>
      <c r="AO251" s="25">
        <f t="shared" si="135"/>
        <v>0</v>
      </c>
      <c r="AQ251" s="25">
        <f>IFERROR(__xludf.DUMMYFUNCTION("if(iserror(match(true,J251:AN251,0)),0,len(index(split(substitute(substitute(join("","",J251:AN251)&amp;"","",""TRUE,"",""x""),""FALSE,"","",""),"",""),,counta(split(substitute(substitute(join("","",J251:AN251)&amp;"","",""TRUE,"",""x""),""FALSE,"","",""),"",""))"&amp;")))"),0.0)</f>
        <v>0</v>
      </c>
      <c r="AR251" s="25" t="str">
        <f>IFERROR(__xludf.DUMMYFUNCTION("arrayformula( if( sum(J251:AN251 + 0), max( len( split( concatenate( left(J251:AN251) ), ""F"" ) ) ), ""0"" ) )"),"0")</f>
        <v>0</v>
      </c>
      <c r="AS251" s="26">
        <v>15.0</v>
      </c>
      <c r="AT251" s="27">
        <f t="shared" si="136"/>
        <v>0</v>
      </c>
    </row>
    <row r="252" hidden="1">
      <c r="A252" s="39"/>
      <c r="B252" s="40"/>
      <c r="C252" s="40"/>
      <c r="D252" s="40"/>
      <c r="E252" s="40"/>
      <c r="F252" s="41"/>
      <c r="G252" s="41"/>
      <c r="H252" s="41"/>
      <c r="I252" s="6"/>
      <c r="J252" s="38" t="b">
        <v>0</v>
      </c>
      <c r="K252" s="38" t="b">
        <v>0</v>
      </c>
      <c r="L252" s="38" t="b">
        <v>0</v>
      </c>
      <c r="M252" s="38" t="b">
        <v>0</v>
      </c>
      <c r="N252" s="38" t="b">
        <v>0</v>
      </c>
      <c r="O252" s="38" t="b">
        <v>0</v>
      </c>
      <c r="P252" s="38" t="b">
        <v>0</v>
      </c>
      <c r="Q252" s="38" t="b">
        <v>0</v>
      </c>
      <c r="R252" s="38" t="b">
        <v>0</v>
      </c>
      <c r="S252" s="38" t="b">
        <v>0</v>
      </c>
      <c r="T252" s="38" t="b">
        <v>0</v>
      </c>
      <c r="U252" s="38" t="b">
        <v>0</v>
      </c>
      <c r="V252" s="38" t="b">
        <v>0</v>
      </c>
      <c r="W252" s="38" t="b">
        <v>0</v>
      </c>
      <c r="X252" s="38" t="b">
        <v>0</v>
      </c>
      <c r="Y252" s="38" t="b">
        <v>0</v>
      </c>
      <c r="Z252" s="38" t="b">
        <v>0</v>
      </c>
      <c r="AA252" s="38" t="b">
        <v>0</v>
      </c>
      <c r="AB252" s="38" t="b">
        <v>0</v>
      </c>
      <c r="AC252" s="38" t="b">
        <v>0</v>
      </c>
      <c r="AD252" s="38" t="b">
        <v>0</v>
      </c>
      <c r="AE252" s="38" t="b">
        <v>0</v>
      </c>
      <c r="AF252" s="38" t="b">
        <v>0</v>
      </c>
      <c r="AG252" s="38" t="b">
        <v>0</v>
      </c>
      <c r="AH252" s="38" t="b">
        <v>0</v>
      </c>
      <c r="AI252" s="38" t="b">
        <v>0</v>
      </c>
      <c r="AJ252" s="38" t="b">
        <v>0</v>
      </c>
      <c r="AK252" s="38" t="b">
        <v>0</v>
      </c>
      <c r="AL252" s="38" t="b">
        <v>0</v>
      </c>
      <c r="AM252" s="24" t="b">
        <v>0</v>
      </c>
      <c r="AN252" s="38"/>
      <c r="AO252" s="25">
        <f t="shared" si="135"/>
        <v>0</v>
      </c>
      <c r="AQ252" s="25">
        <f>IFERROR(__xludf.DUMMYFUNCTION("if(iserror(match(true,J252:AN252,0)),0,len(index(split(substitute(substitute(join("","",J252:AN252)&amp;"","",""TRUE,"",""x""),""FALSE,"","",""),"",""),,counta(split(substitute(substitute(join("","",J252:AN252)&amp;"","",""TRUE,"",""x""),""FALSE,"","",""),"",""))"&amp;")))"),0.0)</f>
        <v>0</v>
      </c>
      <c r="AR252" s="25" t="str">
        <f>IFERROR(__xludf.DUMMYFUNCTION("arrayformula( if( sum(J252:AN252 + 0), max( len( split( concatenate( left(J252:AN252) ), ""F"" ) ) ), ""0"" ) )"),"0")</f>
        <v>0</v>
      </c>
      <c r="AS252" s="26">
        <v>15.0</v>
      </c>
      <c r="AT252" s="27">
        <f t="shared" si="136"/>
        <v>0</v>
      </c>
    </row>
    <row r="253">
      <c r="A253" s="51"/>
      <c r="B253" s="51"/>
      <c r="C253" s="51"/>
      <c r="D253" s="51"/>
      <c r="E253" s="51"/>
      <c r="F253" s="51"/>
      <c r="G253" s="51"/>
      <c r="H253" s="51"/>
      <c r="I253" s="51"/>
      <c r="J253" s="24" t="str">
        <f t="array" ref="J253">IF(COUNTIF(J233:J252, "TRUE") = 1, Setup!$E$4, 
IF(COUNTIF(J233:J252, "TRUE") = 0, Setup!$E$3,
IF(COUNTIF(J233:J252, "TRUE") = 2, Setup!$E$5, 
IF(COUNTIF(J233:J252, "TRUE") = 3, Setup!$E$6, 
IF(COUNTIF(J233:J252, "TRUE") = 4, Setup!$E$7, 
IF(COUNTIF(J233:J252, "TRUE") = 5, Setup!$E$8, 
IF(COUNTIF(J233:J252, "TRUE") &gt;= 6, Setup!$E$9)))
))))</f>
        <v/>
      </c>
      <c r="K253" s="24" t="str">
        <f t="array" ref="K253">IF(COUNTIF(K233:K252, "TRUE") = 1, Setup!$E$4, 
IF(COUNTIF(K233:K252, "TRUE") = 0, Setup!$E$3,
IF(COUNTIF(K233:K252, "TRUE") = 2, Setup!$E$5, 
IF(COUNTIF(K233:K252, "TRUE") = 3, Setup!$E$6, 
IF(COUNTIF(K233:K252, "TRUE") = 4, Setup!$E$7, 
IF(COUNTIF(K233:K252, "TRUE") = 5, Setup!$E$8, 
IF(COUNTIF(K233:K252, "TRUE") &gt;= 6, Setup!$E$9)))
))))</f>
        <v/>
      </c>
      <c r="L253" s="24" t="str">
        <f t="array" ref="L253">IF(COUNTIF(L233:L252, "TRUE") = 1, Setup!$E$4, 
IF(COUNTIF(L233:L252, "TRUE") = 0, Setup!$E$3,
IF(COUNTIF(L233:L252, "TRUE") = 2, Setup!$E$5, 
IF(COUNTIF(L233:L252, "TRUE") = 3, Setup!$E$6, 
IF(COUNTIF(L233:L252, "TRUE") = 4, Setup!$E$7, 
IF(COUNTIF(L233:L252, "TRUE") = 5, Setup!$E$8, 
IF(COUNTIF(L233:L252, "TRUE") &gt;= 6, Setup!$E$9)))
))))</f>
        <v/>
      </c>
      <c r="M253" s="24" t="str">
        <f t="array" ref="M253">IF(COUNTIF(M233:M252, "TRUE") = 1, Setup!$E$4, 
IF(COUNTIF(M233:M252, "TRUE") = 0, Setup!$E$3,
IF(COUNTIF(M233:M252, "TRUE") = 2, Setup!$E$5, 
IF(COUNTIF(M233:M252, "TRUE") = 3, Setup!$E$6, 
IF(COUNTIF(M233:M252, "TRUE") = 4, Setup!$E$7, 
IF(COUNTIF(M233:M252, "TRUE") = 5, Setup!$E$8, 
IF(COUNTIF(M233:M252, "TRUE") &gt;= 6, Setup!$E$9)))
))))</f>
        <v/>
      </c>
      <c r="N253" s="24" t="str">
        <f t="array" ref="N253">IF(COUNTIF(N233:N252, "TRUE") = 1, Setup!$E$4, 
IF(COUNTIF(N233:N252, "TRUE") = 0, Setup!$E$3,
IF(COUNTIF(N233:N252, "TRUE") = 2, Setup!$E$5, 
IF(COUNTIF(N233:N252, "TRUE") = 3, Setup!$E$6, 
IF(COUNTIF(N233:N252, "TRUE") = 4, Setup!$E$7, 
IF(COUNTIF(N233:N252, "TRUE") = 5, Setup!$E$8, 
IF(COUNTIF(N233:N252, "TRUE") &gt;= 6, Setup!$E$9)))
))))</f>
        <v/>
      </c>
      <c r="O253" s="24" t="str">
        <f t="array" ref="O253">IF(COUNTIF(O233:O252, "TRUE") = 1, Setup!$E$4, 
IF(COUNTIF(O233:O252, "TRUE") = 0, Setup!$E$3,
IF(COUNTIF(O233:O252, "TRUE") = 2, Setup!$E$5, 
IF(COUNTIF(O233:O252, "TRUE") = 3, Setup!$E$6, 
IF(COUNTIF(O233:O252, "TRUE") = 4, Setup!$E$7, 
IF(COUNTIF(O233:O252, "TRUE") = 5, Setup!$E$8, 
IF(COUNTIF(O233:O252, "TRUE") &gt;= 6, Setup!$E$9)))
))))</f>
        <v/>
      </c>
      <c r="P253" s="24" t="str">
        <f t="array" ref="P253">IF(COUNTIF(P233:P252, "TRUE") = 1, Setup!$E$4, 
IF(COUNTIF(P233:P252, "TRUE") = 0, Setup!$E$3,
IF(COUNTIF(P233:P252, "TRUE") = 2, Setup!$E$5, 
IF(COUNTIF(P233:P252, "TRUE") = 3, Setup!$E$6, 
IF(COUNTIF(P233:P252, "TRUE") = 4, Setup!$E$7, 
IF(COUNTIF(P233:P252, "TRUE") = 5, Setup!$E$8, 
IF(COUNTIF(P233:P252, "TRUE") &gt;= 6, Setup!$E$9)))
))))</f>
        <v/>
      </c>
      <c r="Q253" s="24" t="str">
        <f t="array" ref="Q253">IF(COUNTIF(Q233:Q252, "TRUE") = 1, Setup!$E$4, 
IF(COUNTIF(Q233:Q252, "TRUE") = 0, Setup!$E$3,
IF(COUNTIF(Q233:Q252, "TRUE") = 2, Setup!$E$5, 
IF(COUNTIF(Q233:Q252, "TRUE") = 3, Setup!$E$6, 
IF(COUNTIF(Q233:Q252, "TRUE") = 4, Setup!$E$7, 
IF(COUNTIF(Q233:Q252, "TRUE") = 5, Setup!$E$8, 
IF(COUNTIF(Q233:Q252, "TRUE") &gt;= 6, Setup!$E$9)))
))))</f>
        <v/>
      </c>
      <c r="R253" s="24" t="str">
        <f t="array" ref="R253">IF(COUNTIF(R233:R252, "TRUE") = 1, Setup!$E$4, 
IF(COUNTIF(R233:R252, "TRUE") = 0, Setup!$E$3,
IF(COUNTIF(R233:R252, "TRUE") = 2, Setup!$E$5, 
IF(COUNTIF(R233:R252, "TRUE") = 3, Setup!$E$6, 
IF(COUNTIF(R233:R252, "TRUE") = 4, Setup!$E$7, 
IF(COUNTIF(R233:R252, "TRUE") = 5, Setup!$E$8, 
IF(COUNTIF(R233:R252, "TRUE") &gt;= 6, Setup!$E$9)))
))))</f>
        <v/>
      </c>
      <c r="S253" s="24" t="str">
        <f t="array" ref="S253">IF(COUNTIF(S233:S252, "TRUE") = 1, Setup!$E$4, 
IF(COUNTIF(S233:S252, "TRUE") = 0, Setup!$E$3,
IF(COUNTIF(S233:S252, "TRUE") = 2, Setup!$E$5, 
IF(COUNTIF(S233:S252, "TRUE") = 3, Setup!$E$6, 
IF(COUNTIF(S233:S252, "TRUE") = 4, Setup!$E$7, 
IF(COUNTIF(S233:S252, "TRUE") = 5, Setup!$E$8, 
IF(COUNTIF(S233:S252, "TRUE") &gt;= 6, Setup!$E$9)))
))))</f>
        <v/>
      </c>
      <c r="T253" s="24" t="str">
        <f t="array" ref="T253">IF(COUNTIF(T233:T252, "TRUE") = 1, Setup!$E$4, 
IF(COUNTIF(T233:T252, "TRUE") = 0, Setup!$E$3,
IF(COUNTIF(T233:T252, "TRUE") = 2, Setup!$E$5, 
IF(COUNTIF(T233:T252, "TRUE") = 3, Setup!$E$6, 
IF(COUNTIF(T233:T252, "TRUE") = 4, Setup!$E$7, 
IF(COUNTIF(T233:T252, "TRUE") = 5, Setup!$E$8, 
IF(COUNTIF(T233:T252, "TRUE") &gt;= 6, Setup!$E$9)))
))))</f>
        <v/>
      </c>
      <c r="U253" s="24" t="str">
        <f t="array" ref="U253">IF(COUNTIF(U233:U252, "TRUE") = 1, Setup!$E$4, 
IF(COUNTIF(U233:U252, "TRUE") = 0, Setup!$E$3,
IF(COUNTIF(U233:U252, "TRUE") = 2, Setup!$E$5, 
IF(COUNTIF(U233:U252, "TRUE") = 3, Setup!$E$6, 
IF(COUNTIF(U233:U252, "TRUE") = 4, Setup!$E$7, 
IF(COUNTIF(U233:U252, "TRUE") = 5, Setup!$E$8, 
IF(COUNTIF(U233:U252, "TRUE") &gt;= 6, Setup!$E$9)))
))))</f>
        <v/>
      </c>
      <c r="V253" s="24" t="str">
        <f t="array" ref="V253">IF(COUNTIF(V233:V252, "TRUE") = 1, Setup!$E$4, 
IF(COUNTIF(V233:V252, "TRUE") = 0, Setup!$E$3,
IF(COUNTIF(V233:V252, "TRUE") = 2, Setup!$E$5, 
IF(COUNTIF(V233:V252, "TRUE") = 3, Setup!$E$6, 
IF(COUNTIF(V233:V252, "TRUE") = 4, Setup!$E$7, 
IF(COUNTIF(V233:V252, "TRUE") = 5, Setup!$E$8, 
IF(COUNTIF(V233:V252, "TRUE") &gt;= 6, Setup!$E$9)))
))))</f>
        <v/>
      </c>
      <c r="W253" s="24" t="str">
        <f t="array" ref="W253">IF(COUNTIF(W233:W252, "TRUE") = 1, Setup!$E$4, 
IF(COUNTIF(W233:W252, "TRUE") = 0, Setup!$E$3,
IF(COUNTIF(W233:W252, "TRUE") = 2, Setup!$E$5, 
IF(COUNTIF(W233:W252, "TRUE") = 3, Setup!$E$6, 
IF(COUNTIF(W233:W252, "TRUE") = 4, Setup!$E$7, 
IF(COUNTIF(W233:W252, "TRUE") = 5, Setup!$E$8, 
IF(COUNTIF(W233:W252, "TRUE") &gt;= 6, Setup!$E$9)))
))))</f>
        <v/>
      </c>
      <c r="X253" s="24" t="str">
        <f t="array" ref="X253">IF(COUNTIF(X233:X252, "TRUE") = 1, Setup!$E$4, 
IF(COUNTIF(X233:X252, "TRUE") = 0, Setup!$E$3,
IF(COUNTIF(X233:X252, "TRUE") = 2, Setup!$E$5, 
IF(COUNTIF(X233:X252, "TRUE") = 3, Setup!$E$6, 
IF(COUNTIF(X233:X252, "TRUE") = 4, Setup!$E$7, 
IF(COUNTIF(X233:X252, "TRUE") = 5, Setup!$E$8, 
IF(COUNTIF(X233:X252, "TRUE") &gt;= 6, Setup!$E$9)))
))))</f>
        <v/>
      </c>
      <c r="Y253" s="24" t="str">
        <f t="array" ref="Y253">IF(COUNTIF(Y233:Y252, "TRUE") = 1, Setup!$E$4, 
IF(COUNTIF(Y233:Y252, "TRUE") = 0, Setup!$E$3,
IF(COUNTIF(Y233:Y252, "TRUE") = 2, Setup!$E$5, 
IF(COUNTIF(Y233:Y252, "TRUE") = 3, Setup!$E$6, 
IF(COUNTIF(Y233:Y252, "TRUE") = 4, Setup!$E$7, 
IF(COUNTIF(Y233:Y252, "TRUE") = 5, Setup!$E$8, 
IF(COUNTIF(Y233:Y252, "TRUE") &gt;= 6, Setup!$E$9)))
))))</f>
        <v/>
      </c>
      <c r="Z253" s="24" t="str">
        <f t="array" ref="Z253">IF(COUNTIF(Z233:Z252, "TRUE") = 1, Setup!$E$4, 
IF(COUNTIF(Z233:Z252, "TRUE") = 0, Setup!$E$3,
IF(COUNTIF(Z233:Z252, "TRUE") = 2, Setup!$E$5, 
IF(COUNTIF(Z233:Z252, "TRUE") = 3, Setup!$E$6, 
IF(COUNTIF(Z233:Z252, "TRUE") = 4, Setup!$E$7, 
IF(COUNTIF(Z233:Z252, "TRUE") = 5, Setup!$E$8, 
IF(COUNTIF(Z233:Z252, "TRUE") &gt;= 6, Setup!$E$9)))
))))</f>
        <v/>
      </c>
      <c r="AA253" s="24" t="str">
        <f t="array" ref="AA253">IF(COUNTIF(AA233:AA252, "TRUE") = 1, Setup!$E$4, 
IF(COUNTIF(AA233:AA252, "TRUE") = 0, Setup!$E$3,
IF(COUNTIF(AA233:AA252, "TRUE") = 2, Setup!$E$5, 
IF(COUNTIF(AA233:AA252, "TRUE") = 3, Setup!$E$6, 
IF(COUNTIF(AA233:AA252, "TRUE") = 4, Setup!$E$7, 
IF(COUNTIF(AA233:AA252, "TRUE") = 5, Setup!$E$8, 
IF(COUNTIF(AA233:AA252, "TRUE") &gt;= 6, Setup!$E$9)))
))))</f>
        <v/>
      </c>
      <c r="AB253" s="24" t="str">
        <f t="array" ref="AB253">IF(COUNTIF(AB233:AB252, "TRUE") = 1, Setup!$E$4, 
IF(COUNTIF(AB233:AB252, "TRUE") = 0, Setup!$E$3,
IF(COUNTIF(AB233:AB252, "TRUE") = 2, Setup!$E$5, 
IF(COUNTIF(AB233:AB252, "TRUE") = 3, Setup!$E$6, 
IF(COUNTIF(AB233:AB252, "TRUE") = 4, Setup!$E$7, 
IF(COUNTIF(AB233:AB252, "TRUE") = 5, Setup!$E$8, 
IF(COUNTIF(AB233:AB252, "TRUE") &gt;= 6, Setup!$E$9)))
))))</f>
        <v/>
      </c>
      <c r="AC253" s="24" t="str">
        <f t="array" ref="AC253">IF(COUNTIF(AC233:AC252, "TRUE") = 1, Setup!$E$4, 
IF(COUNTIF(AC233:AC252, "TRUE") = 0, Setup!$E$3,
IF(COUNTIF(AC233:AC252, "TRUE") = 2, Setup!$E$5, 
IF(COUNTIF(AC233:AC252, "TRUE") = 3, Setup!$E$6, 
IF(COUNTIF(AC233:AC252, "TRUE") = 4, Setup!$E$7, 
IF(COUNTIF(AC233:AC252, "TRUE") = 5, Setup!$E$8, 
IF(COUNTIF(AC233:AC252, "TRUE") &gt;= 6, Setup!$E$9)))
))))</f>
        <v/>
      </c>
      <c r="AD253" s="24" t="str">
        <f t="array" ref="AD253">IF(COUNTIF(AD233:AD252, "TRUE") = 1, Setup!$E$4, 
IF(COUNTIF(AD233:AD252, "TRUE") = 0, Setup!$E$3,
IF(COUNTIF(AD233:AD252, "TRUE") = 2, Setup!$E$5, 
IF(COUNTIF(AD233:AD252, "TRUE") = 3, Setup!$E$6, 
IF(COUNTIF(AD233:AD252, "TRUE") = 4, Setup!$E$7, 
IF(COUNTIF(AD233:AD252, "TRUE") = 5, Setup!$E$8, 
IF(COUNTIF(AD233:AD252, "TRUE") &gt;= 6, Setup!$E$9)))
))))</f>
        <v/>
      </c>
      <c r="AE253" s="24" t="str">
        <f t="array" ref="AE253">IF(COUNTIF(AE233:AE252, "TRUE") = 1, Setup!$E$4, 
IF(COUNTIF(AE233:AE252, "TRUE") = 0, Setup!$E$3,
IF(COUNTIF(AE233:AE252, "TRUE") = 2, Setup!$E$5, 
IF(COUNTIF(AE233:AE252, "TRUE") = 3, Setup!$E$6, 
IF(COUNTIF(AE233:AE252, "TRUE") = 4, Setup!$E$7, 
IF(COUNTIF(AE233:AE252, "TRUE") = 5, Setup!$E$8, 
IF(COUNTIF(AE233:AE252, "TRUE") &gt;= 6, Setup!$E$9)))
))))</f>
        <v/>
      </c>
      <c r="AF253" s="24" t="str">
        <f t="array" ref="AF253">IF(COUNTIF(AF233:AF252, "TRUE") = 1, Setup!$E$4, 
IF(COUNTIF(AF233:AF252, "TRUE") = 0, Setup!$E$3,
IF(COUNTIF(AF233:AF252, "TRUE") = 2, Setup!$E$5, 
IF(COUNTIF(AF233:AF252, "TRUE") = 3, Setup!$E$6, 
IF(COUNTIF(AF233:AF252, "TRUE") = 4, Setup!$E$7, 
IF(COUNTIF(AF233:AF252, "TRUE") = 5, Setup!$E$8, 
IF(COUNTIF(AF233:AF252, "TRUE") &gt;= 6, Setup!$E$9)))
))))</f>
        <v/>
      </c>
      <c r="AG253" s="24" t="str">
        <f t="array" ref="AG253">IF(COUNTIF(AG233:AG252, "TRUE") = 1, Setup!$E$4, 
IF(COUNTIF(AG233:AG252, "TRUE") = 0, Setup!$E$3,
IF(COUNTIF(AG233:AG252, "TRUE") = 2, Setup!$E$5, 
IF(COUNTIF(AG233:AG252, "TRUE") = 3, Setup!$E$6, 
IF(COUNTIF(AG233:AG252, "TRUE") = 4, Setup!$E$7, 
IF(COUNTIF(AG233:AG252, "TRUE") = 5, Setup!$E$8, 
IF(COUNTIF(AG233:AG252, "TRUE") &gt;= 6, Setup!$E$9)))
))))</f>
        <v/>
      </c>
      <c r="AH253" s="24" t="str">
        <f t="array" ref="AH253">IF(COUNTIF(AH233:AH252, "TRUE") = 1, Setup!$E$4, 
IF(COUNTIF(AH233:AH252, "TRUE") = 0, Setup!$E$3,
IF(COUNTIF(AH233:AH252, "TRUE") = 2, Setup!$E$5, 
IF(COUNTIF(AH233:AH252, "TRUE") = 3, Setup!$E$6, 
IF(COUNTIF(AH233:AH252, "TRUE") = 4, Setup!$E$7, 
IF(COUNTIF(AH233:AH252, "TRUE") = 5, Setup!$E$8, 
IF(COUNTIF(AH233:AH252, "TRUE") &gt;= 6, Setup!$E$9)))
))))</f>
        <v/>
      </c>
      <c r="AI253" s="24" t="str">
        <f t="array" ref="AI253">IF(COUNTIF(AI233:AI252, "TRUE") = 1, Setup!$E$4, 
IF(COUNTIF(AI233:AI252, "TRUE") = 0, Setup!$E$3,
IF(COUNTIF(AI233:AI252, "TRUE") = 2, Setup!$E$5, 
IF(COUNTIF(AI233:AI252, "TRUE") = 3, Setup!$E$6, 
IF(COUNTIF(AI233:AI252, "TRUE") = 4, Setup!$E$7, 
IF(COUNTIF(AI233:AI252, "TRUE") = 5, Setup!$E$8, 
IF(COUNTIF(AI233:AI252, "TRUE") &gt;= 6, Setup!$E$9)))
))))</f>
        <v/>
      </c>
      <c r="AJ253" s="24" t="str">
        <f t="array" ref="AJ253">IF(COUNTIF(AJ233:AJ252, "TRUE") = 1, Setup!$E$4, 
IF(COUNTIF(AJ233:AJ252, "TRUE") = 0, Setup!$E$3,
IF(COUNTIF(AJ233:AJ252, "TRUE") = 2, Setup!$E$5, 
IF(COUNTIF(AJ233:AJ252, "TRUE") = 3, Setup!$E$6, 
IF(COUNTIF(AJ233:AJ252, "TRUE") = 4, Setup!$E$7, 
IF(COUNTIF(AJ233:AJ252, "TRUE") = 5, Setup!$E$8, 
IF(COUNTIF(AJ233:AJ252, "TRUE") &gt;= 6, Setup!$E$9)))
))))</f>
        <v/>
      </c>
      <c r="AK253" s="24" t="str">
        <f t="array" ref="AK253">IF(COUNTIF(AK233:AK252, "TRUE") = 1, Setup!$E$4, 
IF(COUNTIF(AK233:AK252, "TRUE") = 0, Setup!$E$3,
IF(COUNTIF(AK233:AK252, "TRUE") = 2, Setup!$E$5, 
IF(COUNTIF(AK233:AK252, "TRUE") = 3, Setup!$E$6, 
IF(COUNTIF(AK233:AK252, "TRUE") = 4, Setup!$E$7, 
IF(COUNTIF(AK233:AK252, "TRUE") = 5, Setup!$E$8, 
IF(COUNTIF(AK233:AK252, "TRUE") &gt;= 6, Setup!$E$9)))
))))</f>
        <v/>
      </c>
      <c r="AL253" s="24" t="str">
        <f t="array" ref="AL253">IF(COUNTIF(AL233:AL252, "TRUE") = 1, Setup!$E$4, 
IF(COUNTIF(AL233:AL252, "TRUE") = 0, Setup!$E$3,
IF(COUNTIF(AL233:AL252, "TRUE") = 2, Setup!$E$5, 
IF(COUNTIF(AL233:AL252, "TRUE") = 3, Setup!$E$6, 
IF(COUNTIF(AL233:AL252, "TRUE") = 4, Setup!$E$7, 
IF(COUNTIF(AL233:AL252, "TRUE") = 5, Setup!$E$8, 
IF(COUNTIF(AL233:AL252, "TRUE") &gt;= 6, Setup!$E$9)))
))))</f>
        <v/>
      </c>
      <c r="AM253" s="24" t="str">
        <f t="array" ref="AM253">IF(COUNTIF(AM233:AM252, "TRUE") = 1, Setup!$E$4, 
IF(COUNTIF(AM233:AM252, "TRUE") = 0, Setup!$E$3,
IF(COUNTIF(AM233:AM252, "TRUE") = 2, Setup!$E$5, 
IF(COUNTIF(AM233:AM252, "TRUE") = 3, Setup!$E$6, 
IF(COUNTIF(AM233:AM252, "TRUE") = 4, Setup!$E$7, 
IF(COUNTIF(AM233:AM252, "TRUE") = 5, Setup!$E$8, 
IF(COUNTIF(AM233:AM252, "TRUE") &gt;= 6, Setup!$E$9)))
))))</f>
        <v/>
      </c>
      <c r="AN253" s="24" t="str">
        <f t="array" ref="AN253">IF(COUNTIF(AN233:AN238, "TRUE") = 1, Setup!$E$4, 
IF(COUNTIF(AN233:AN238, "TRUE") = 0, Setup!$E$3,
IF(COUNTIF(AN233:AN238, "TRUE") = 2, Setup!$E$5, 
IF(COUNTIF(AN233:AN238, "TRUE") = 3, Setup!$E$6, 
IF(COUNTIF(AN233:AN238, "TRUE") = 4, Setup!$E$7, 
IF(COUNTIF(AN233:AN238, "TRUE") = 5, Setup!$E$8, 
IF(COUNTIF(AN233:AN238, "TRUE") = 6, Setup!$E$9)))
))))</f>
        <v/>
      </c>
      <c r="AO253" s="38"/>
      <c r="AQ253" s="38"/>
      <c r="AR253" s="38"/>
      <c r="AS253" s="38"/>
      <c r="AT253" s="38"/>
    </row>
    <row r="254">
      <c r="A254" s="49" t="s">
        <v>65</v>
      </c>
      <c r="B254" s="55" t="s">
        <v>66</v>
      </c>
      <c r="I254" s="50" t="s">
        <v>67</v>
      </c>
      <c r="J254" s="16">
        <f t="array" ref="J254">DATE($D$1, MATCH(I254, {"January","February","March","April","May","June","July","August","September","October","November","December"}, 0), 1)</f>
        <v>46357</v>
      </c>
      <c r="K254" s="16">
        <f t="shared" ref="K254:AN254" si="144">J254+1</f>
        <v>46358</v>
      </c>
      <c r="L254" s="16">
        <f t="shared" si="144"/>
        <v>46359</v>
      </c>
      <c r="M254" s="16">
        <f t="shared" si="144"/>
        <v>46360</v>
      </c>
      <c r="N254" s="16">
        <f t="shared" si="144"/>
        <v>46361</v>
      </c>
      <c r="O254" s="16">
        <f t="shared" si="144"/>
        <v>46362</v>
      </c>
      <c r="P254" s="16">
        <f t="shared" si="144"/>
        <v>46363</v>
      </c>
      <c r="Q254" s="16">
        <f t="shared" si="144"/>
        <v>46364</v>
      </c>
      <c r="R254" s="16">
        <f t="shared" si="144"/>
        <v>46365</v>
      </c>
      <c r="S254" s="16">
        <f t="shared" si="144"/>
        <v>46366</v>
      </c>
      <c r="T254" s="16">
        <f t="shared" si="144"/>
        <v>46367</v>
      </c>
      <c r="U254" s="16">
        <f t="shared" si="144"/>
        <v>46368</v>
      </c>
      <c r="V254" s="16">
        <f t="shared" si="144"/>
        <v>46369</v>
      </c>
      <c r="W254" s="16">
        <f t="shared" si="144"/>
        <v>46370</v>
      </c>
      <c r="X254" s="16">
        <f t="shared" si="144"/>
        <v>46371</v>
      </c>
      <c r="Y254" s="16">
        <f t="shared" si="144"/>
        <v>46372</v>
      </c>
      <c r="Z254" s="16">
        <f t="shared" si="144"/>
        <v>46373</v>
      </c>
      <c r="AA254" s="16">
        <f t="shared" si="144"/>
        <v>46374</v>
      </c>
      <c r="AB254" s="16">
        <f t="shared" si="144"/>
        <v>46375</v>
      </c>
      <c r="AC254" s="16">
        <f t="shared" si="144"/>
        <v>46376</v>
      </c>
      <c r="AD254" s="16">
        <f t="shared" si="144"/>
        <v>46377</v>
      </c>
      <c r="AE254" s="16">
        <f t="shared" si="144"/>
        <v>46378</v>
      </c>
      <c r="AF254" s="16">
        <f t="shared" si="144"/>
        <v>46379</v>
      </c>
      <c r="AG254" s="16">
        <f t="shared" si="144"/>
        <v>46380</v>
      </c>
      <c r="AH254" s="16">
        <f t="shared" si="144"/>
        <v>46381</v>
      </c>
      <c r="AI254" s="16">
        <f t="shared" si="144"/>
        <v>46382</v>
      </c>
      <c r="AJ254" s="16">
        <f t="shared" si="144"/>
        <v>46383</v>
      </c>
      <c r="AK254" s="16">
        <f t="shared" si="144"/>
        <v>46384</v>
      </c>
      <c r="AL254" s="16">
        <f t="shared" si="144"/>
        <v>46385</v>
      </c>
      <c r="AM254" s="16">
        <f t="shared" si="144"/>
        <v>46386</v>
      </c>
      <c r="AN254" s="16">
        <f t="shared" si="144"/>
        <v>46387</v>
      </c>
      <c r="AO254" s="17" t="s">
        <v>28</v>
      </c>
      <c r="AQ254" s="18" t="s">
        <v>29</v>
      </c>
      <c r="AR254" s="18" t="s">
        <v>30</v>
      </c>
      <c r="AS254" s="18" t="s">
        <v>31</v>
      </c>
      <c r="AT254" s="18" t="s">
        <v>32</v>
      </c>
    </row>
    <row r="255" ht="15.0" customHeight="1">
      <c r="A255" s="34"/>
      <c r="B255" s="34"/>
      <c r="I255" s="35"/>
      <c r="J255" s="36">
        <f t="shared" ref="J255:AN255" si="145">J254</f>
        <v>46357</v>
      </c>
      <c r="K255" s="36">
        <f t="shared" si="145"/>
        <v>46358</v>
      </c>
      <c r="L255" s="36">
        <f t="shared" si="145"/>
        <v>46359</v>
      </c>
      <c r="M255" s="36">
        <f t="shared" si="145"/>
        <v>46360</v>
      </c>
      <c r="N255" s="36">
        <f t="shared" si="145"/>
        <v>46361</v>
      </c>
      <c r="O255" s="36">
        <f t="shared" si="145"/>
        <v>46362</v>
      </c>
      <c r="P255" s="36">
        <f t="shared" si="145"/>
        <v>46363</v>
      </c>
      <c r="Q255" s="36">
        <f t="shared" si="145"/>
        <v>46364</v>
      </c>
      <c r="R255" s="36">
        <f t="shared" si="145"/>
        <v>46365</v>
      </c>
      <c r="S255" s="36">
        <f t="shared" si="145"/>
        <v>46366</v>
      </c>
      <c r="T255" s="36">
        <f t="shared" si="145"/>
        <v>46367</v>
      </c>
      <c r="U255" s="36">
        <f t="shared" si="145"/>
        <v>46368</v>
      </c>
      <c r="V255" s="36">
        <f t="shared" si="145"/>
        <v>46369</v>
      </c>
      <c r="W255" s="36">
        <f t="shared" si="145"/>
        <v>46370</v>
      </c>
      <c r="X255" s="36">
        <f t="shared" si="145"/>
        <v>46371</v>
      </c>
      <c r="Y255" s="36">
        <f t="shared" si="145"/>
        <v>46372</v>
      </c>
      <c r="Z255" s="36">
        <f t="shared" si="145"/>
        <v>46373</v>
      </c>
      <c r="AA255" s="36">
        <f t="shared" si="145"/>
        <v>46374</v>
      </c>
      <c r="AB255" s="36">
        <f t="shared" si="145"/>
        <v>46375</v>
      </c>
      <c r="AC255" s="36">
        <f t="shared" si="145"/>
        <v>46376</v>
      </c>
      <c r="AD255" s="36">
        <f t="shared" si="145"/>
        <v>46377</v>
      </c>
      <c r="AE255" s="36">
        <f t="shared" si="145"/>
        <v>46378</v>
      </c>
      <c r="AF255" s="36">
        <f t="shared" si="145"/>
        <v>46379</v>
      </c>
      <c r="AG255" s="36">
        <f t="shared" si="145"/>
        <v>46380</v>
      </c>
      <c r="AH255" s="36">
        <f t="shared" si="145"/>
        <v>46381</v>
      </c>
      <c r="AI255" s="36">
        <f t="shared" si="145"/>
        <v>46382</v>
      </c>
      <c r="AJ255" s="36">
        <f t="shared" si="145"/>
        <v>46383</v>
      </c>
      <c r="AK255" s="36">
        <f t="shared" si="145"/>
        <v>46384</v>
      </c>
      <c r="AL255" s="36">
        <f t="shared" si="145"/>
        <v>46385</v>
      </c>
      <c r="AM255" s="36">
        <f t="shared" si="145"/>
        <v>46386</v>
      </c>
      <c r="AN255" s="36">
        <f t="shared" si="145"/>
        <v>46387</v>
      </c>
    </row>
    <row r="256">
      <c r="A256" s="51"/>
      <c r="B256" s="52" t="str">
        <f t="shared" ref="B256:H256" si="146">IF($E$2="Monday", TEXT(TODAY()-WEEKDAY(TODAY(),2)+COLUMN(B256)-1,"ddd"), TEXT(TODAY()-WEEKDAY(TODAY(),1)+IF(COLUMN(B256)&gt;1,COLUMN(B256)-1,7),"ddd"))
</f>
        <v>Mon</v>
      </c>
      <c r="C256" s="52" t="str">
        <f t="shared" si="146"/>
        <v>Tue</v>
      </c>
      <c r="D256" s="52" t="str">
        <f t="shared" si="146"/>
        <v>Wed</v>
      </c>
      <c r="E256" s="52" t="str">
        <f t="shared" si="146"/>
        <v>Thu</v>
      </c>
      <c r="F256" s="52" t="str">
        <f t="shared" si="146"/>
        <v>Fri</v>
      </c>
      <c r="G256" s="52" t="str">
        <f t="shared" si="146"/>
        <v>Sat</v>
      </c>
      <c r="H256" s="52" t="str">
        <f t="shared" si="146"/>
        <v>Sun</v>
      </c>
      <c r="I256" s="6" t="str">
        <f t="array" ref="I256:I275">Setup!$B$3:$B$22</f>
        <v>🧘🏻‍♀️Yoga</v>
      </c>
      <c r="J256" s="38" t="b">
        <v>0</v>
      </c>
      <c r="K256" s="24" t="b">
        <v>0</v>
      </c>
      <c r="L256" s="38" t="b">
        <v>0</v>
      </c>
      <c r="M256" s="38" t="b">
        <v>0</v>
      </c>
      <c r="N256" s="38" t="b">
        <v>0</v>
      </c>
      <c r="O256" s="38" t="b">
        <v>0</v>
      </c>
      <c r="P256" s="38" t="b">
        <v>0</v>
      </c>
      <c r="Q256" s="38" t="b">
        <v>0</v>
      </c>
      <c r="R256" s="38" t="b">
        <v>0</v>
      </c>
      <c r="S256" s="38" t="b">
        <v>0</v>
      </c>
      <c r="T256" s="38" t="b">
        <v>0</v>
      </c>
      <c r="U256" s="38" t="b">
        <v>0</v>
      </c>
      <c r="V256" s="38" t="b">
        <v>0</v>
      </c>
      <c r="W256" s="38" t="b">
        <v>0</v>
      </c>
      <c r="X256" s="38" t="b">
        <v>0</v>
      </c>
      <c r="Y256" s="38" t="b">
        <v>0</v>
      </c>
      <c r="Z256" s="38" t="b">
        <v>0</v>
      </c>
      <c r="AA256" s="38" t="b">
        <v>0</v>
      </c>
      <c r="AB256" s="38" t="b">
        <v>0</v>
      </c>
      <c r="AC256" s="38" t="b">
        <v>0</v>
      </c>
      <c r="AD256" s="38" t="b">
        <v>0</v>
      </c>
      <c r="AE256" s="38" t="b">
        <v>0</v>
      </c>
      <c r="AF256" s="38" t="b">
        <v>0</v>
      </c>
      <c r="AG256" s="38" t="b">
        <v>0</v>
      </c>
      <c r="AH256" s="38" t="b">
        <v>0</v>
      </c>
      <c r="AI256" s="38" t="b">
        <v>0</v>
      </c>
      <c r="AJ256" s="24" t="b">
        <v>0</v>
      </c>
      <c r="AK256" s="24" t="b">
        <v>0</v>
      </c>
      <c r="AL256" s="24" t="b">
        <v>0</v>
      </c>
      <c r="AM256" s="24" t="b">
        <v>0</v>
      </c>
      <c r="AN256" s="38" t="b">
        <v>0</v>
      </c>
      <c r="AO256" s="25">
        <f t="shared" ref="AO256:AO275" si="148">COUNTIF(J256:AN256, "TRUE")</f>
        <v>0</v>
      </c>
      <c r="AQ256" s="25">
        <f>IFERROR(__xludf.DUMMYFUNCTION("if(iserror(match(true,J256:AN256,0)),0,len(index(split(substitute(substitute(join("","",J256:AN256)&amp;"","",""TRUE,"",""x""),""FALSE,"","",""),"",""),,counta(split(substitute(substitute(join("","",J256:AN256)&amp;"","",""TRUE,"",""x""),""FALSE,"","",""),"",""))"&amp;")))"),0.0)</f>
        <v>0</v>
      </c>
      <c r="AR256" s="25" t="str">
        <f>IFERROR(__xludf.DUMMYFUNCTION("arrayformula( if( sum(J256:AN256 + 0), max( len( split( concatenate( left(J256:AN256) ), ""F"" ) ) ), ""0"" ) )"),"0")</f>
        <v>0</v>
      </c>
      <c r="AS256" s="26">
        <v>15.0</v>
      </c>
      <c r="AT256" s="27">
        <f t="shared" ref="AT256:AT275" si="149">AO256/AS256</f>
        <v>0</v>
      </c>
    </row>
    <row r="257">
      <c r="A257" s="28">
        <f>WEEKNUM(DATE($D$1, MONTH(I254 &amp; 1), 1), 2)
</f>
        <v>49</v>
      </c>
      <c r="B257" s="29">
        <f t="array" ref="B257">IFERROR(DATE($D$1, 1, (A257-1)*7 + 2 - WEEKDAY(DATE($D$1, 1, 1) - MATCH(B256, {"Mon","Tue","Wed","Thu","Fri","Sat","Sun"}, 0))), "")</f>
        <v>46356</v>
      </c>
      <c r="C257" s="30">
        <f t="shared" ref="C257:H257" si="147">B257+1</f>
        <v>46357</v>
      </c>
      <c r="D257" s="30">
        <f t="shared" si="147"/>
        <v>46358</v>
      </c>
      <c r="E257" s="30">
        <f t="shared" si="147"/>
        <v>46359</v>
      </c>
      <c r="F257" s="30">
        <f t="shared" si="147"/>
        <v>46360</v>
      </c>
      <c r="G257" s="30">
        <f t="shared" si="147"/>
        <v>46361</v>
      </c>
      <c r="H257" s="30">
        <f t="shared" si="147"/>
        <v>46362</v>
      </c>
      <c r="I257" s="6" t="s">
        <v>7</v>
      </c>
      <c r="J257" s="38" t="b">
        <v>0</v>
      </c>
      <c r="K257" s="24" t="b">
        <v>0</v>
      </c>
      <c r="L257" s="38" t="b">
        <v>0</v>
      </c>
      <c r="M257" s="38" t="b">
        <v>0</v>
      </c>
      <c r="N257" s="38" t="b">
        <v>0</v>
      </c>
      <c r="O257" s="38" t="b">
        <v>0</v>
      </c>
      <c r="P257" s="38" t="b">
        <v>0</v>
      </c>
      <c r="Q257" s="38" t="b">
        <v>0</v>
      </c>
      <c r="R257" s="38" t="b">
        <v>0</v>
      </c>
      <c r="S257" s="38" t="b">
        <v>0</v>
      </c>
      <c r="T257" s="38" t="b">
        <v>0</v>
      </c>
      <c r="U257" s="38" t="b">
        <v>0</v>
      </c>
      <c r="V257" s="38" t="b">
        <v>0</v>
      </c>
      <c r="W257" s="24" t="b">
        <v>0</v>
      </c>
      <c r="X257" s="38" t="b">
        <v>0</v>
      </c>
      <c r="Y257" s="38" t="b">
        <v>0</v>
      </c>
      <c r="Z257" s="38" t="b">
        <v>0</v>
      </c>
      <c r="AA257" s="38" t="b">
        <v>0</v>
      </c>
      <c r="AB257" s="38" t="b">
        <v>0</v>
      </c>
      <c r="AC257" s="38" t="b">
        <v>0</v>
      </c>
      <c r="AD257" s="38" t="b">
        <v>0</v>
      </c>
      <c r="AE257" s="38" t="b">
        <v>0</v>
      </c>
      <c r="AF257" s="38" t="b">
        <v>0</v>
      </c>
      <c r="AG257" s="38" t="b">
        <v>0</v>
      </c>
      <c r="AH257" s="38" t="b">
        <v>0</v>
      </c>
      <c r="AI257" s="38" t="b">
        <v>0</v>
      </c>
      <c r="AJ257" s="38" t="b">
        <v>0</v>
      </c>
      <c r="AK257" s="38" t="b">
        <v>0</v>
      </c>
      <c r="AL257" s="38" t="b">
        <v>0</v>
      </c>
      <c r="AM257" s="38" t="b">
        <v>0</v>
      </c>
      <c r="AN257" s="38" t="b">
        <v>0</v>
      </c>
      <c r="AO257" s="25">
        <f t="shared" si="148"/>
        <v>0</v>
      </c>
      <c r="AQ257" s="25">
        <f>IFERROR(__xludf.DUMMYFUNCTION("if(iserror(match(true,J257:AN257,0)),0,len(index(split(substitute(substitute(join("","",J257:AN257)&amp;"","",""TRUE,"",""x""),""FALSE,"","",""),"",""),,counta(split(substitute(substitute(join("","",J257:AN257)&amp;"","",""TRUE,"",""x""),""FALSE,"","",""),"",""))"&amp;")))"),0.0)</f>
        <v>0</v>
      </c>
      <c r="AR257" s="25" t="str">
        <f>IFERROR(__xludf.DUMMYFUNCTION("arrayformula( if( sum(J257:AN257 + 0), max( len( split( concatenate( left(J257:AN257) ), ""F"" ) ) ), ""0"" ) )"),"0")</f>
        <v>0</v>
      </c>
      <c r="AS257" s="26">
        <v>20.0</v>
      </c>
      <c r="AT257" s="27">
        <f t="shared" si="149"/>
        <v>0</v>
      </c>
    </row>
    <row r="258">
      <c r="A258" s="31">
        <f t="shared" ref="A258:A262" si="151">A257+1</f>
        <v>50</v>
      </c>
      <c r="B258" s="30">
        <f t="shared" ref="B258:B262" si="152">H257+1</f>
        <v>46363</v>
      </c>
      <c r="C258" s="30">
        <f t="shared" ref="C258:H258" si="150">B258+1</f>
        <v>46364</v>
      </c>
      <c r="D258" s="30">
        <f t="shared" si="150"/>
        <v>46365</v>
      </c>
      <c r="E258" s="30">
        <f t="shared" si="150"/>
        <v>46366</v>
      </c>
      <c r="F258" s="30">
        <f t="shared" si="150"/>
        <v>46367</v>
      </c>
      <c r="G258" s="30">
        <f t="shared" si="150"/>
        <v>46368</v>
      </c>
      <c r="H258" s="30">
        <f t="shared" si="150"/>
        <v>46369</v>
      </c>
      <c r="I258" s="6" t="s">
        <v>11</v>
      </c>
      <c r="J258" s="38" t="b">
        <v>0</v>
      </c>
      <c r="K258" s="24" t="b">
        <v>0</v>
      </c>
      <c r="L258" s="38" t="b">
        <v>0</v>
      </c>
      <c r="M258" s="38" t="b">
        <v>0</v>
      </c>
      <c r="N258" s="38" t="b">
        <v>0</v>
      </c>
      <c r="O258" s="38" t="b">
        <v>0</v>
      </c>
      <c r="P258" s="38" t="b">
        <v>0</v>
      </c>
      <c r="Q258" s="38" t="b">
        <v>0</v>
      </c>
      <c r="R258" s="38" t="b">
        <v>0</v>
      </c>
      <c r="S258" s="38" t="b">
        <v>0</v>
      </c>
      <c r="T258" s="38" t="b">
        <v>0</v>
      </c>
      <c r="U258" s="38" t="b">
        <v>0</v>
      </c>
      <c r="V258" s="38" t="b">
        <v>0</v>
      </c>
      <c r="W258" s="38" t="b">
        <v>0</v>
      </c>
      <c r="X258" s="38" t="b">
        <v>0</v>
      </c>
      <c r="Y258" s="38" t="b">
        <v>0</v>
      </c>
      <c r="Z258" s="38" t="b">
        <v>0</v>
      </c>
      <c r="AA258" s="38" t="b">
        <v>0</v>
      </c>
      <c r="AB258" s="38" t="b">
        <v>0</v>
      </c>
      <c r="AC258" s="38" t="b">
        <v>0</v>
      </c>
      <c r="AD258" s="38" t="b">
        <v>0</v>
      </c>
      <c r="AE258" s="38" t="b">
        <v>0</v>
      </c>
      <c r="AF258" s="38" t="b">
        <v>0</v>
      </c>
      <c r="AG258" s="38" t="b">
        <v>0</v>
      </c>
      <c r="AH258" s="38" t="b">
        <v>0</v>
      </c>
      <c r="AI258" s="38" t="b">
        <v>0</v>
      </c>
      <c r="AJ258" s="38" t="b">
        <v>0</v>
      </c>
      <c r="AK258" s="38" t="b">
        <v>0</v>
      </c>
      <c r="AL258" s="38" t="b">
        <v>0</v>
      </c>
      <c r="AM258" s="38" t="b">
        <v>0</v>
      </c>
      <c r="AN258" s="38" t="b">
        <v>0</v>
      </c>
      <c r="AO258" s="25">
        <f t="shared" si="148"/>
        <v>0</v>
      </c>
      <c r="AQ258" s="25">
        <f>IFERROR(__xludf.DUMMYFUNCTION("if(iserror(match(true,J258:AN258,0)),0,len(index(split(substitute(substitute(join("","",J258:AN258)&amp;"","",""TRUE,"",""x""),""FALSE,"","",""),"",""),,counta(split(substitute(substitute(join("","",J258:AN258)&amp;"","",""TRUE,"",""x""),""FALSE,"","",""),"",""))"&amp;")))"),0.0)</f>
        <v>0</v>
      </c>
      <c r="AR258" s="25" t="str">
        <f>IFERROR(__xludf.DUMMYFUNCTION("arrayformula( if( sum(J258:AN258 + 0), max( len( split( concatenate( left(J258:AN258) ), ""F"" ) ) ), ""0"" ) )"),"0")</f>
        <v>0</v>
      </c>
      <c r="AS258" s="26">
        <v>30.0</v>
      </c>
      <c r="AT258" s="27">
        <f t="shared" si="149"/>
        <v>0</v>
      </c>
    </row>
    <row r="259">
      <c r="A259" s="31">
        <f t="shared" si="151"/>
        <v>51</v>
      </c>
      <c r="B259" s="30">
        <f t="shared" si="152"/>
        <v>46370</v>
      </c>
      <c r="C259" s="30">
        <f t="shared" ref="C259:H259" si="153">B259+1</f>
        <v>46371</v>
      </c>
      <c r="D259" s="30">
        <f t="shared" si="153"/>
        <v>46372</v>
      </c>
      <c r="E259" s="30">
        <f t="shared" si="153"/>
        <v>46373</v>
      </c>
      <c r="F259" s="30">
        <f t="shared" si="153"/>
        <v>46374</v>
      </c>
      <c r="G259" s="30">
        <f t="shared" si="153"/>
        <v>46375</v>
      </c>
      <c r="H259" s="30">
        <f t="shared" si="153"/>
        <v>46376</v>
      </c>
      <c r="I259" s="6" t="s">
        <v>14</v>
      </c>
      <c r="J259" s="38" t="b">
        <v>0</v>
      </c>
      <c r="K259" s="24" t="b">
        <v>0</v>
      </c>
      <c r="L259" s="38" t="b">
        <v>0</v>
      </c>
      <c r="M259" s="38" t="b">
        <v>0</v>
      </c>
      <c r="N259" s="38" t="b">
        <v>0</v>
      </c>
      <c r="O259" s="38" t="b">
        <v>0</v>
      </c>
      <c r="P259" s="38" t="b">
        <v>0</v>
      </c>
      <c r="Q259" s="38" t="b">
        <v>0</v>
      </c>
      <c r="R259" s="38" t="b">
        <v>0</v>
      </c>
      <c r="S259" s="38" t="b">
        <v>0</v>
      </c>
      <c r="T259" s="38" t="b">
        <v>0</v>
      </c>
      <c r="U259" s="38" t="b">
        <v>0</v>
      </c>
      <c r="V259" s="38" t="b">
        <v>0</v>
      </c>
      <c r="W259" s="38" t="b">
        <v>0</v>
      </c>
      <c r="X259" s="38" t="b">
        <v>0</v>
      </c>
      <c r="Y259" s="38" t="b">
        <v>0</v>
      </c>
      <c r="Z259" s="38" t="b">
        <v>0</v>
      </c>
      <c r="AA259" s="38" t="b">
        <v>0</v>
      </c>
      <c r="AB259" s="38" t="b">
        <v>0</v>
      </c>
      <c r="AC259" s="38" t="b">
        <v>0</v>
      </c>
      <c r="AD259" s="38" t="b">
        <v>0</v>
      </c>
      <c r="AE259" s="38" t="b">
        <v>0</v>
      </c>
      <c r="AF259" s="38" t="b">
        <v>0</v>
      </c>
      <c r="AG259" s="38" t="b">
        <v>0</v>
      </c>
      <c r="AH259" s="38" t="b">
        <v>0</v>
      </c>
      <c r="AI259" s="38" t="b">
        <v>0</v>
      </c>
      <c r="AJ259" s="38" t="b">
        <v>0</v>
      </c>
      <c r="AK259" s="38" t="b">
        <v>0</v>
      </c>
      <c r="AL259" s="38" t="b">
        <v>0</v>
      </c>
      <c r="AM259" s="38" t="b">
        <v>0</v>
      </c>
      <c r="AN259" s="38" t="b">
        <v>0</v>
      </c>
      <c r="AO259" s="25">
        <f t="shared" si="148"/>
        <v>0</v>
      </c>
      <c r="AQ259" s="25">
        <f>IFERROR(__xludf.DUMMYFUNCTION("if(iserror(match(true,J259:AN259,0)),0,len(index(split(substitute(substitute(join("","",J259:AN259)&amp;"","",""TRUE,"",""x""),""FALSE,"","",""),"",""),,counta(split(substitute(substitute(join("","",J259:AN259)&amp;"","",""TRUE,"",""x""),""FALSE,"","",""),"",""))"&amp;")))"),0.0)</f>
        <v>0</v>
      </c>
      <c r="AR259" s="25" t="str">
        <f>IFERROR(__xludf.DUMMYFUNCTION("arrayformula( if( sum(J259:AN259 + 0), max( len( split( concatenate( left(J259:AN259) ), ""F"" ) ) ), ""0"" ) )"),"0")</f>
        <v>0</v>
      </c>
      <c r="AS259" s="26">
        <v>20.0</v>
      </c>
      <c r="AT259" s="27">
        <f t="shared" si="149"/>
        <v>0</v>
      </c>
    </row>
    <row r="260">
      <c r="A260" s="31">
        <f t="shared" si="151"/>
        <v>52</v>
      </c>
      <c r="B260" s="30">
        <f t="shared" si="152"/>
        <v>46377</v>
      </c>
      <c r="C260" s="30">
        <f t="shared" ref="C260:H260" si="154">B260+1</f>
        <v>46378</v>
      </c>
      <c r="D260" s="30">
        <f t="shared" si="154"/>
        <v>46379</v>
      </c>
      <c r="E260" s="30">
        <f t="shared" si="154"/>
        <v>46380</v>
      </c>
      <c r="F260" s="30">
        <f t="shared" si="154"/>
        <v>46381</v>
      </c>
      <c r="G260" s="30">
        <f t="shared" si="154"/>
        <v>46382</v>
      </c>
      <c r="H260" s="30">
        <f t="shared" si="154"/>
        <v>46383</v>
      </c>
      <c r="I260" s="6" t="s">
        <v>17</v>
      </c>
      <c r="J260" s="38" t="b">
        <v>0</v>
      </c>
      <c r="K260" s="24" t="b">
        <v>0</v>
      </c>
      <c r="L260" s="38" t="b">
        <v>0</v>
      </c>
      <c r="M260" s="38" t="b">
        <v>0</v>
      </c>
      <c r="N260" s="38" t="b">
        <v>0</v>
      </c>
      <c r="O260" s="38" t="b">
        <v>0</v>
      </c>
      <c r="P260" s="38" t="b">
        <v>0</v>
      </c>
      <c r="Q260" s="38" t="b">
        <v>0</v>
      </c>
      <c r="R260" s="38" t="b">
        <v>0</v>
      </c>
      <c r="S260" s="38" t="b">
        <v>0</v>
      </c>
      <c r="T260" s="38" t="b">
        <v>0</v>
      </c>
      <c r="U260" s="38" t="b">
        <v>0</v>
      </c>
      <c r="V260" s="38" t="b">
        <v>0</v>
      </c>
      <c r="W260" s="38" t="b">
        <v>0</v>
      </c>
      <c r="X260" s="38" t="b">
        <v>0</v>
      </c>
      <c r="Y260" s="38" t="b">
        <v>0</v>
      </c>
      <c r="Z260" s="38" t="b">
        <v>0</v>
      </c>
      <c r="AA260" s="38" t="b">
        <v>0</v>
      </c>
      <c r="AB260" s="38" t="b">
        <v>0</v>
      </c>
      <c r="AC260" s="38" t="b">
        <v>0</v>
      </c>
      <c r="AD260" s="38" t="b">
        <v>0</v>
      </c>
      <c r="AE260" s="38" t="b">
        <v>0</v>
      </c>
      <c r="AF260" s="38" t="b">
        <v>0</v>
      </c>
      <c r="AG260" s="38" t="b">
        <v>0</v>
      </c>
      <c r="AH260" s="38" t="b">
        <v>0</v>
      </c>
      <c r="AI260" s="38" t="b">
        <v>0</v>
      </c>
      <c r="AJ260" s="38" t="b">
        <v>0</v>
      </c>
      <c r="AK260" s="38" t="b">
        <v>0</v>
      </c>
      <c r="AL260" s="38" t="b">
        <v>0</v>
      </c>
      <c r="AM260" s="38" t="b">
        <v>0</v>
      </c>
      <c r="AN260" s="38" t="b">
        <v>0</v>
      </c>
      <c r="AO260" s="25">
        <f t="shared" si="148"/>
        <v>0</v>
      </c>
      <c r="AQ260" s="25">
        <f>IFERROR(__xludf.DUMMYFUNCTION("if(iserror(match(true,J260:AN260,0)),0,len(index(split(substitute(substitute(join("","",J260:AN260)&amp;"","",""TRUE,"",""x""),""FALSE,"","",""),"",""),,counta(split(substitute(substitute(join("","",J260:AN260)&amp;"","",""TRUE,"",""x""),""FALSE,"","",""),"",""))"&amp;")))"),0.0)</f>
        <v>0</v>
      </c>
      <c r="AR260" s="25" t="str">
        <f>IFERROR(__xludf.DUMMYFUNCTION("arrayformula( if( sum(J260:AN260 + 0), max( len( split( concatenate( left(J260:AN260) ), ""F"" ) ) ), ""0"" ) )"),"0")</f>
        <v>0</v>
      </c>
      <c r="AS260" s="26">
        <v>20.0</v>
      </c>
      <c r="AT260" s="27">
        <f t="shared" si="149"/>
        <v>0</v>
      </c>
    </row>
    <row r="261">
      <c r="A261" s="31">
        <f t="shared" si="151"/>
        <v>53</v>
      </c>
      <c r="B261" s="30">
        <f t="shared" si="152"/>
        <v>46384</v>
      </c>
      <c r="C261" s="30">
        <f t="shared" ref="C261:H261" si="155">B261+1</f>
        <v>46385</v>
      </c>
      <c r="D261" s="30">
        <f t="shared" si="155"/>
        <v>46386</v>
      </c>
      <c r="E261" s="30">
        <f t="shared" si="155"/>
        <v>46387</v>
      </c>
      <c r="F261" s="30">
        <f t="shared" si="155"/>
        <v>46388</v>
      </c>
      <c r="G261" s="30">
        <f t="shared" si="155"/>
        <v>46389</v>
      </c>
      <c r="H261" s="30">
        <f t="shared" si="155"/>
        <v>46390</v>
      </c>
      <c r="I261" s="6" t="s">
        <v>20</v>
      </c>
      <c r="J261" s="38" t="b">
        <v>0</v>
      </c>
      <c r="K261" s="24" t="b">
        <v>0</v>
      </c>
      <c r="L261" s="38" t="b">
        <v>0</v>
      </c>
      <c r="M261" s="38" t="b">
        <v>0</v>
      </c>
      <c r="N261" s="38" t="b">
        <v>0</v>
      </c>
      <c r="O261" s="38" t="b">
        <v>0</v>
      </c>
      <c r="P261" s="38" t="b">
        <v>0</v>
      </c>
      <c r="Q261" s="38" t="b">
        <v>0</v>
      </c>
      <c r="R261" s="38" t="b">
        <v>0</v>
      </c>
      <c r="S261" s="38" t="b">
        <v>0</v>
      </c>
      <c r="T261" s="38" t="b">
        <v>0</v>
      </c>
      <c r="U261" s="38" t="b">
        <v>0</v>
      </c>
      <c r="V261" s="38" t="b">
        <v>0</v>
      </c>
      <c r="W261" s="38" t="b">
        <v>0</v>
      </c>
      <c r="X261" s="38" t="b">
        <v>0</v>
      </c>
      <c r="Y261" s="38" t="b">
        <v>0</v>
      </c>
      <c r="Z261" s="38" t="b">
        <v>0</v>
      </c>
      <c r="AA261" s="38" t="b">
        <v>0</v>
      </c>
      <c r="AB261" s="38" t="b">
        <v>0</v>
      </c>
      <c r="AC261" s="38" t="b">
        <v>0</v>
      </c>
      <c r="AD261" s="38" t="b">
        <v>0</v>
      </c>
      <c r="AE261" s="38" t="b">
        <v>0</v>
      </c>
      <c r="AF261" s="38" t="b">
        <v>0</v>
      </c>
      <c r="AG261" s="38" t="b">
        <v>0</v>
      </c>
      <c r="AH261" s="38" t="b">
        <v>0</v>
      </c>
      <c r="AI261" s="38" t="b">
        <v>0</v>
      </c>
      <c r="AJ261" s="38" t="b">
        <v>0</v>
      </c>
      <c r="AK261" s="38" t="b">
        <v>0</v>
      </c>
      <c r="AL261" s="38" t="b">
        <v>0</v>
      </c>
      <c r="AM261" s="38" t="b">
        <v>0</v>
      </c>
      <c r="AN261" s="38" t="b">
        <v>0</v>
      </c>
      <c r="AO261" s="25">
        <f t="shared" si="148"/>
        <v>0</v>
      </c>
      <c r="AQ261" s="25">
        <f>IFERROR(__xludf.DUMMYFUNCTION("if(iserror(match(true,J261:AN261,0)),0,len(index(split(substitute(substitute(join("","",J261:AN261)&amp;"","",""TRUE,"",""x""),""FALSE,"","",""),"",""),,counta(split(substitute(substitute(join("","",J261:AN261)&amp;"","",""TRUE,"",""x""),""FALSE,"","",""),"",""))"&amp;")))"),0.0)</f>
        <v>0</v>
      </c>
      <c r="AR261" s="25" t="str">
        <f>IFERROR(__xludf.DUMMYFUNCTION("arrayformula( if( sum(J261:AN261 + 0), max( len( split( concatenate( left(J261:AN261) ), ""F"" ) ) ), ""0"" ) )"),"0")</f>
        <v>0</v>
      </c>
      <c r="AS261" s="26">
        <v>15.0</v>
      </c>
      <c r="AT261" s="27">
        <f t="shared" si="149"/>
        <v>0</v>
      </c>
    </row>
    <row r="262">
      <c r="A262" s="31">
        <f t="shared" si="151"/>
        <v>54</v>
      </c>
      <c r="B262" s="30">
        <f t="shared" si="152"/>
        <v>46391</v>
      </c>
      <c r="C262" s="30">
        <f t="shared" ref="C262:H262" si="156">B262+1</f>
        <v>46392</v>
      </c>
      <c r="D262" s="30">
        <f t="shared" si="156"/>
        <v>46393</v>
      </c>
      <c r="E262" s="30">
        <f t="shared" si="156"/>
        <v>46394</v>
      </c>
      <c r="F262" s="30">
        <f t="shared" si="156"/>
        <v>46395</v>
      </c>
      <c r="G262" s="30">
        <f t="shared" si="156"/>
        <v>46396</v>
      </c>
      <c r="H262" s="30">
        <f t="shared" si="156"/>
        <v>46397</v>
      </c>
      <c r="I262" s="6"/>
      <c r="J262" s="38" t="b">
        <v>0</v>
      </c>
      <c r="K262" s="24" t="b">
        <v>0</v>
      </c>
      <c r="L262" s="38" t="b">
        <v>0</v>
      </c>
      <c r="M262" s="38" t="b">
        <v>0</v>
      </c>
      <c r="N262" s="38" t="b">
        <v>0</v>
      </c>
      <c r="O262" s="38" t="b">
        <v>0</v>
      </c>
      <c r="P262" s="38" t="b">
        <v>0</v>
      </c>
      <c r="Q262" s="38" t="b">
        <v>0</v>
      </c>
      <c r="R262" s="38" t="b">
        <v>0</v>
      </c>
      <c r="S262" s="38" t="b">
        <v>0</v>
      </c>
      <c r="T262" s="38" t="b">
        <v>0</v>
      </c>
      <c r="U262" s="38" t="b">
        <v>0</v>
      </c>
      <c r="V262" s="38" t="b">
        <v>0</v>
      </c>
      <c r="W262" s="38" t="b">
        <v>0</v>
      </c>
      <c r="X262" s="38" t="b">
        <v>0</v>
      </c>
      <c r="Y262" s="38" t="b">
        <v>0</v>
      </c>
      <c r="Z262" s="38" t="b">
        <v>0</v>
      </c>
      <c r="AA262" s="38" t="b">
        <v>0</v>
      </c>
      <c r="AB262" s="38" t="b">
        <v>0</v>
      </c>
      <c r="AC262" s="38" t="b">
        <v>0</v>
      </c>
      <c r="AD262" s="38" t="b">
        <v>0</v>
      </c>
      <c r="AE262" s="38" t="b">
        <v>0</v>
      </c>
      <c r="AF262" s="38" t="b">
        <v>0</v>
      </c>
      <c r="AG262" s="38" t="b">
        <v>0</v>
      </c>
      <c r="AH262" s="38" t="b">
        <v>0</v>
      </c>
      <c r="AI262" s="38" t="b">
        <v>0</v>
      </c>
      <c r="AJ262" s="38" t="b">
        <v>0</v>
      </c>
      <c r="AK262" s="38" t="b">
        <v>0</v>
      </c>
      <c r="AL262" s="38" t="b">
        <v>0</v>
      </c>
      <c r="AM262" s="38" t="b">
        <v>0</v>
      </c>
      <c r="AN262" s="38" t="b">
        <v>0</v>
      </c>
      <c r="AO262" s="25">
        <f t="shared" si="148"/>
        <v>0</v>
      </c>
      <c r="AQ262" s="25">
        <f>IFERROR(__xludf.DUMMYFUNCTION("if(iserror(match(true,J262:AN262,0)),0,len(index(split(substitute(substitute(join("","",J262:AN262)&amp;"","",""TRUE,"",""x""),""FALSE,"","",""),"",""),,counta(split(substitute(substitute(join("","",J262:AN262)&amp;"","",""TRUE,"",""x""),""FALSE,"","",""),"",""))"&amp;")))"),0.0)</f>
        <v>0</v>
      </c>
      <c r="AR262" s="25" t="str">
        <f>IFERROR(__xludf.DUMMYFUNCTION("arrayformula( if( sum(J262:AN262 + 0), max( len( split( concatenate( left(J262:AN262) ), ""F"" ) ) ), ""0"" ) )"),"0")</f>
        <v>0</v>
      </c>
      <c r="AS262" s="26">
        <v>15.0</v>
      </c>
      <c r="AT262" s="27">
        <f t="shared" si="149"/>
        <v>0</v>
      </c>
    </row>
    <row r="263" hidden="1">
      <c r="A263" s="39"/>
      <c r="B263" s="40"/>
      <c r="C263" s="40"/>
      <c r="D263" s="40"/>
      <c r="E263" s="40"/>
      <c r="F263" s="40"/>
      <c r="G263" s="40"/>
      <c r="H263" s="40"/>
      <c r="I263" s="6"/>
      <c r="J263" s="38" t="b">
        <v>0</v>
      </c>
      <c r="K263" s="24" t="b">
        <v>0</v>
      </c>
      <c r="L263" s="38" t="b">
        <v>0</v>
      </c>
      <c r="M263" s="38" t="b">
        <v>0</v>
      </c>
      <c r="N263" s="38" t="b">
        <v>0</v>
      </c>
      <c r="O263" s="38" t="b">
        <v>0</v>
      </c>
      <c r="P263" s="38" t="b">
        <v>0</v>
      </c>
      <c r="Q263" s="38" t="b">
        <v>0</v>
      </c>
      <c r="R263" s="38" t="b">
        <v>0</v>
      </c>
      <c r="S263" s="38" t="b">
        <v>0</v>
      </c>
      <c r="T263" s="38" t="b">
        <v>0</v>
      </c>
      <c r="U263" s="38" t="b">
        <v>0</v>
      </c>
      <c r="V263" s="38" t="b">
        <v>0</v>
      </c>
      <c r="W263" s="38" t="b">
        <v>0</v>
      </c>
      <c r="X263" s="38" t="b">
        <v>0</v>
      </c>
      <c r="Y263" s="38" t="b">
        <v>0</v>
      </c>
      <c r="Z263" s="38" t="b">
        <v>0</v>
      </c>
      <c r="AA263" s="38" t="b">
        <v>0</v>
      </c>
      <c r="AB263" s="38" t="b">
        <v>0</v>
      </c>
      <c r="AC263" s="38" t="b">
        <v>0</v>
      </c>
      <c r="AD263" s="38" t="b">
        <v>0</v>
      </c>
      <c r="AE263" s="38" t="b">
        <v>0</v>
      </c>
      <c r="AF263" s="38" t="b">
        <v>0</v>
      </c>
      <c r="AG263" s="38" t="b">
        <v>0</v>
      </c>
      <c r="AH263" s="38" t="b">
        <v>0</v>
      </c>
      <c r="AI263" s="38" t="b">
        <v>0</v>
      </c>
      <c r="AJ263" s="38" t="b">
        <v>0</v>
      </c>
      <c r="AK263" s="38" t="b">
        <v>0</v>
      </c>
      <c r="AL263" s="38" t="b">
        <v>0</v>
      </c>
      <c r="AM263" s="38" t="b">
        <v>0</v>
      </c>
      <c r="AN263" s="38" t="b">
        <v>0</v>
      </c>
      <c r="AO263" s="25">
        <f t="shared" si="148"/>
        <v>0</v>
      </c>
      <c r="AQ263" s="25">
        <f>IFERROR(__xludf.DUMMYFUNCTION("if(iserror(match(true,J263:AN263,0)),0,len(index(split(substitute(substitute(join("","",J263:AN263)&amp;"","",""TRUE,"",""x""),""FALSE,"","",""),"",""),,counta(split(substitute(substitute(join("","",J263:AN263)&amp;"","",""TRUE,"",""x""),""FALSE,"","",""),"",""))"&amp;")))"),0.0)</f>
        <v>0</v>
      </c>
      <c r="AR263" s="25" t="str">
        <f>IFERROR(__xludf.DUMMYFUNCTION("arrayformula( if( sum(J263:AN263 + 0), max( len( split( concatenate( left(J263:AN263) ), ""F"" ) ) ), ""0"" ) )"),"0")</f>
        <v>0</v>
      </c>
      <c r="AS263" s="26">
        <v>15.0</v>
      </c>
      <c r="AT263" s="27">
        <f t="shared" si="149"/>
        <v>0</v>
      </c>
    </row>
    <row r="264" hidden="1">
      <c r="A264" s="39"/>
      <c r="B264" s="40"/>
      <c r="C264" s="40"/>
      <c r="D264" s="40"/>
      <c r="E264" s="40"/>
      <c r="F264" s="40"/>
      <c r="G264" s="40"/>
      <c r="H264" s="40"/>
      <c r="I264" s="6"/>
      <c r="J264" s="38" t="b">
        <v>0</v>
      </c>
      <c r="K264" s="24" t="b">
        <v>0</v>
      </c>
      <c r="L264" s="38" t="b">
        <v>0</v>
      </c>
      <c r="M264" s="38" t="b">
        <v>0</v>
      </c>
      <c r="N264" s="38" t="b">
        <v>0</v>
      </c>
      <c r="O264" s="38" t="b">
        <v>0</v>
      </c>
      <c r="P264" s="38" t="b">
        <v>0</v>
      </c>
      <c r="Q264" s="38" t="b">
        <v>0</v>
      </c>
      <c r="R264" s="38" t="b">
        <v>0</v>
      </c>
      <c r="S264" s="38" t="b">
        <v>0</v>
      </c>
      <c r="T264" s="38" t="b">
        <v>0</v>
      </c>
      <c r="U264" s="38" t="b">
        <v>0</v>
      </c>
      <c r="V264" s="38" t="b">
        <v>0</v>
      </c>
      <c r="W264" s="38" t="b">
        <v>0</v>
      </c>
      <c r="X264" s="38" t="b">
        <v>0</v>
      </c>
      <c r="Y264" s="38" t="b">
        <v>0</v>
      </c>
      <c r="Z264" s="38" t="b">
        <v>0</v>
      </c>
      <c r="AA264" s="38" t="b">
        <v>0</v>
      </c>
      <c r="AB264" s="38" t="b">
        <v>0</v>
      </c>
      <c r="AC264" s="38" t="b">
        <v>0</v>
      </c>
      <c r="AD264" s="38" t="b">
        <v>0</v>
      </c>
      <c r="AE264" s="38" t="b">
        <v>0</v>
      </c>
      <c r="AF264" s="38" t="b">
        <v>0</v>
      </c>
      <c r="AG264" s="38" t="b">
        <v>0</v>
      </c>
      <c r="AH264" s="38" t="b">
        <v>0</v>
      </c>
      <c r="AI264" s="38" t="b">
        <v>0</v>
      </c>
      <c r="AJ264" s="38" t="b">
        <v>0</v>
      </c>
      <c r="AK264" s="38" t="b">
        <v>0</v>
      </c>
      <c r="AL264" s="38" t="b">
        <v>0</v>
      </c>
      <c r="AM264" s="38" t="b">
        <v>0</v>
      </c>
      <c r="AN264" s="38" t="b">
        <v>0</v>
      </c>
      <c r="AO264" s="25">
        <f t="shared" si="148"/>
        <v>0</v>
      </c>
      <c r="AQ264" s="25">
        <f>IFERROR(__xludf.DUMMYFUNCTION("if(iserror(match(true,J264:AN264,0)),0,len(index(split(substitute(substitute(join("","",J264:AN264)&amp;"","",""TRUE,"",""x""),""FALSE,"","",""),"",""),,counta(split(substitute(substitute(join("","",J264:AN264)&amp;"","",""TRUE,"",""x""),""FALSE,"","",""),"",""))"&amp;")))"),0.0)</f>
        <v>0</v>
      </c>
      <c r="AR264" s="25" t="str">
        <f>IFERROR(__xludf.DUMMYFUNCTION("arrayformula( if( sum(J264:AN264 + 0), max( len( split( concatenate( left(J264:AN264) ), ""F"" ) ) ), ""0"" ) )"),"0")</f>
        <v>0</v>
      </c>
      <c r="AS264" s="26">
        <v>15.0</v>
      </c>
      <c r="AT264" s="27">
        <f t="shared" si="149"/>
        <v>0</v>
      </c>
    </row>
    <row r="265" hidden="1">
      <c r="A265" s="39"/>
      <c r="B265" s="40"/>
      <c r="C265" s="40"/>
      <c r="D265" s="40"/>
      <c r="E265" s="40"/>
      <c r="F265" s="40"/>
      <c r="G265" s="40"/>
      <c r="H265" s="40"/>
      <c r="I265" s="6"/>
      <c r="J265" s="38" t="b">
        <v>0</v>
      </c>
      <c r="K265" s="24" t="b">
        <v>0</v>
      </c>
      <c r="L265" s="38" t="b">
        <v>0</v>
      </c>
      <c r="M265" s="38" t="b">
        <v>0</v>
      </c>
      <c r="N265" s="38" t="b">
        <v>0</v>
      </c>
      <c r="O265" s="38" t="b">
        <v>0</v>
      </c>
      <c r="P265" s="38" t="b">
        <v>0</v>
      </c>
      <c r="Q265" s="38" t="b">
        <v>0</v>
      </c>
      <c r="R265" s="38" t="b">
        <v>0</v>
      </c>
      <c r="S265" s="38" t="b">
        <v>0</v>
      </c>
      <c r="T265" s="38" t="b">
        <v>0</v>
      </c>
      <c r="U265" s="38" t="b">
        <v>0</v>
      </c>
      <c r="V265" s="38" t="b">
        <v>0</v>
      </c>
      <c r="W265" s="38" t="b">
        <v>0</v>
      </c>
      <c r="X265" s="38" t="b">
        <v>0</v>
      </c>
      <c r="Y265" s="38" t="b">
        <v>0</v>
      </c>
      <c r="Z265" s="38" t="b">
        <v>0</v>
      </c>
      <c r="AA265" s="38" t="b">
        <v>0</v>
      </c>
      <c r="AB265" s="38" t="b">
        <v>0</v>
      </c>
      <c r="AC265" s="38" t="b">
        <v>0</v>
      </c>
      <c r="AD265" s="38" t="b">
        <v>0</v>
      </c>
      <c r="AE265" s="38" t="b">
        <v>0</v>
      </c>
      <c r="AF265" s="38" t="b">
        <v>0</v>
      </c>
      <c r="AG265" s="38" t="b">
        <v>0</v>
      </c>
      <c r="AH265" s="38" t="b">
        <v>0</v>
      </c>
      <c r="AI265" s="38" t="b">
        <v>0</v>
      </c>
      <c r="AJ265" s="38" t="b">
        <v>0</v>
      </c>
      <c r="AK265" s="38" t="b">
        <v>0</v>
      </c>
      <c r="AL265" s="38" t="b">
        <v>0</v>
      </c>
      <c r="AM265" s="38" t="b">
        <v>0</v>
      </c>
      <c r="AN265" s="38" t="b">
        <v>0</v>
      </c>
      <c r="AO265" s="25">
        <f t="shared" si="148"/>
        <v>0</v>
      </c>
      <c r="AQ265" s="25">
        <f>IFERROR(__xludf.DUMMYFUNCTION("if(iserror(match(true,J265:AN265,0)),0,len(index(split(substitute(substitute(join("","",J265:AN265)&amp;"","",""TRUE,"",""x""),""FALSE,"","",""),"",""),,counta(split(substitute(substitute(join("","",J265:AN265)&amp;"","",""TRUE,"",""x""),""FALSE,"","",""),"",""))"&amp;")))"),0.0)</f>
        <v>0</v>
      </c>
      <c r="AR265" s="25" t="str">
        <f>IFERROR(__xludf.DUMMYFUNCTION("arrayformula( if( sum(J265:AN265 + 0), max( len( split( concatenate( left(J265:AN265) ), ""F"" ) ) ), ""0"" ) )"),"0")</f>
        <v>0</v>
      </c>
      <c r="AS265" s="26">
        <v>15.0</v>
      </c>
      <c r="AT265" s="27">
        <f t="shared" si="149"/>
        <v>0</v>
      </c>
    </row>
    <row r="266" hidden="1">
      <c r="A266" s="39"/>
      <c r="B266" s="40"/>
      <c r="C266" s="40"/>
      <c r="D266" s="40"/>
      <c r="E266" s="40"/>
      <c r="F266" s="40"/>
      <c r="G266" s="40"/>
      <c r="H266" s="40"/>
      <c r="I266" s="6"/>
      <c r="J266" s="38" t="b">
        <v>0</v>
      </c>
      <c r="K266" s="24" t="b">
        <v>0</v>
      </c>
      <c r="L266" s="38" t="b">
        <v>0</v>
      </c>
      <c r="M266" s="38" t="b">
        <v>0</v>
      </c>
      <c r="N266" s="38" t="b">
        <v>0</v>
      </c>
      <c r="O266" s="38" t="b">
        <v>0</v>
      </c>
      <c r="P266" s="38" t="b">
        <v>0</v>
      </c>
      <c r="Q266" s="38" t="b">
        <v>0</v>
      </c>
      <c r="R266" s="38" t="b">
        <v>0</v>
      </c>
      <c r="S266" s="38" t="b">
        <v>0</v>
      </c>
      <c r="T266" s="38" t="b">
        <v>0</v>
      </c>
      <c r="U266" s="38" t="b">
        <v>0</v>
      </c>
      <c r="V266" s="38" t="b">
        <v>0</v>
      </c>
      <c r="W266" s="38" t="b">
        <v>0</v>
      </c>
      <c r="X266" s="38" t="b">
        <v>0</v>
      </c>
      <c r="Y266" s="38" t="b">
        <v>0</v>
      </c>
      <c r="Z266" s="38" t="b">
        <v>0</v>
      </c>
      <c r="AA266" s="38" t="b">
        <v>0</v>
      </c>
      <c r="AB266" s="38" t="b">
        <v>0</v>
      </c>
      <c r="AC266" s="38" t="b">
        <v>0</v>
      </c>
      <c r="AD266" s="38" t="b">
        <v>0</v>
      </c>
      <c r="AE266" s="38" t="b">
        <v>0</v>
      </c>
      <c r="AF266" s="38" t="b">
        <v>0</v>
      </c>
      <c r="AG266" s="38" t="b">
        <v>0</v>
      </c>
      <c r="AH266" s="38" t="b">
        <v>0</v>
      </c>
      <c r="AI266" s="38" t="b">
        <v>0</v>
      </c>
      <c r="AJ266" s="38" t="b">
        <v>0</v>
      </c>
      <c r="AK266" s="38" t="b">
        <v>0</v>
      </c>
      <c r="AL266" s="38" t="b">
        <v>0</v>
      </c>
      <c r="AM266" s="38" t="b">
        <v>0</v>
      </c>
      <c r="AN266" s="38" t="b">
        <v>0</v>
      </c>
      <c r="AO266" s="25">
        <f t="shared" si="148"/>
        <v>0</v>
      </c>
      <c r="AQ266" s="25">
        <f>IFERROR(__xludf.DUMMYFUNCTION("if(iserror(match(true,J266:AN266,0)),0,len(index(split(substitute(substitute(join("","",J266:AN266)&amp;"","",""TRUE,"",""x""),""FALSE,"","",""),"",""),,counta(split(substitute(substitute(join("","",J266:AN266)&amp;"","",""TRUE,"",""x""),""FALSE,"","",""),"",""))"&amp;")))"),0.0)</f>
        <v>0</v>
      </c>
      <c r="AR266" s="25" t="str">
        <f>IFERROR(__xludf.DUMMYFUNCTION("arrayformula( if( sum(J266:AN266 + 0), max( len( split( concatenate( left(J266:AN266) ), ""F"" ) ) ), ""0"" ) )"),"0")</f>
        <v>0</v>
      </c>
      <c r="AS266" s="26">
        <v>15.0</v>
      </c>
      <c r="AT266" s="27">
        <f t="shared" si="149"/>
        <v>0</v>
      </c>
    </row>
    <row r="267" hidden="1">
      <c r="A267" s="39"/>
      <c r="B267" s="40"/>
      <c r="C267" s="40"/>
      <c r="D267" s="40"/>
      <c r="E267" s="40"/>
      <c r="F267" s="40"/>
      <c r="G267" s="40"/>
      <c r="H267" s="40"/>
      <c r="I267" s="6"/>
      <c r="J267" s="38" t="b">
        <v>0</v>
      </c>
      <c r="K267" s="24" t="b">
        <v>0</v>
      </c>
      <c r="L267" s="38" t="b">
        <v>0</v>
      </c>
      <c r="M267" s="38" t="b">
        <v>0</v>
      </c>
      <c r="N267" s="38" t="b">
        <v>0</v>
      </c>
      <c r="O267" s="38" t="b">
        <v>0</v>
      </c>
      <c r="P267" s="38" t="b">
        <v>0</v>
      </c>
      <c r="Q267" s="38" t="b">
        <v>0</v>
      </c>
      <c r="R267" s="38" t="b">
        <v>0</v>
      </c>
      <c r="S267" s="38" t="b">
        <v>0</v>
      </c>
      <c r="T267" s="38" t="b">
        <v>0</v>
      </c>
      <c r="U267" s="38" t="b">
        <v>0</v>
      </c>
      <c r="V267" s="38" t="b">
        <v>0</v>
      </c>
      <c r="W267" s="38" t="b">
        <v>0</v>
      </c>
      <c r="X267" s="38" t="b">
        <v>0</v>
      </c>
      <c r="Y267" s="38" t="b">
        <v>0</v>
      </c>
      <c r="Z267" s="38" t="b">
        <v>0</v>
      </c>
      <c r="AA267" s="38" t="b">
        <v>0</v>
      </c>
      <c r="AB267" s="38" t="b">
        <v>0</v>
      </c>
      <c r="AC267" s="38" t="b">
        <v>0</v>
      </c>
      <c r="AD267" s="38" t="b">
        <v>0</v>
      </c>
      <c r="AE267" s="38" t="b">
        <v>0</v>
      </c>
      <c r="AF267" s="38" t="b">
        <v>0</v>
      </c>
      <c r="AG267" s="38" t="b">
        <v>0</v>
      </c>
      <c r="AH267" s="38" t="b">
        <v>0</v>
      </c>
      <c r="AI267" s="38" t="b">
        <v>0</v>
      </c>
      <c r="AJ267" s="38" t="b">
        <v>0</v>
      </c>
      <c r="AK267" s="38" t="b">
        <v>0</v>
      </c>
      <c r="AL267" s="38" t="b">
        <v>0</v>
      </c>
      <c r="AM267" s="38" t="b">
        <v>0</v>
      </c>
      <c r="AN267" s="38" t="b">
        <v>0</v>
      </c>
      <c r="AO267" s="25">
        <f t="shared" si="148"/>
        <v>0</v>
      </c>
      <c r="AQ267" s="25">
        <f>IFERROR(__xludf.DUMMYFUNCTION("if(iserror(match(true,J267:AN267,0)),0,len(index(split(substitute(substitute(join("","",J267:AN267)&amp;"","",""TRUE,"",""x""),""FALSE,"","",""),"",""),,counta(split(substitute(substitute(join("","",J267:AN267)&amp;"","",""TRUE,"",""x""),""FALSE,"","",""),"",""))"&amp;")))"),0.0)</f>
        <v>0</v>
      </c>
      <c r="AR267" s="25" t="str">
        <f>IFERROR(__xludf.DUMMYFUNCTION("arrayformula( if( sum(J267:AN267 + 0), max( len( split( concatenate( left(J267:AN267) ), ""F"" ) ) ), ""0"" ) )"),"0")</f>
        <v>0</v>
      </c>
      <c r="AS267" s="26">
        <v>15.0</v>
      </c>
      <c r="AT267" s="27">
        <f t="shared" si="149"/>
        <v>0</v>
      </c>
    </row>
    <row r="268" hidden="1">
      <c r="A268" s="39"/>
      <c r="B268" s="40"/>
      <c r="C268" s="40"/>
      <c r="D268" s="40"/>
      <c r="E268" s="40"/>
      <c r="F268" s="40"/>
      <c r="G268" s="40"/>
      <c r="H268" s="40"/>
      <c r="I268" s="6"/>
      <c r="J268" s="38" t="b">
        <v>0</v>
      </c>
      <c r="K268" s="24" t="b">
        <v>0</v>
      </c>
      <c r="L268" s="38" t="b">
        <v>0</v>
      </c>
      <c r="M268" s="38" t="b">
        <v>0</v>
      </c>
      <c r="N268" s="38" t="b">
        <v>0</v>
      </c>
      <c r="O268" s="38" t="b">
        <v>0</v>
      </c>
      <c r="P268" s="38" t="b">
        <v>0</v>
      </c>
      <c r="Q268" s="38" t="b">
        <v>0</v>
      </c>
      <c r="R268" s="38" t="b">
        <v>0</v>
      </c>
      <c r="S268" s="38" t="b">
        <v>0</v>
      </c>
      <c r="T268" s="38" t="b">
        <v>0</v>
      </c>
      <c r="U268" s="38" t="b">
        <v>0</v>
      </c>
      <c r="V268" s="38" t="b">
        <v>0</v>
      </c>
      <c r="W268" s="38" t="b">
        <v>0</v>
      </c>
      <c r="X268" s="38" t="b">
        <v>0</v>
      </c>
      <c r="Y268" s="38" t="b">
        <v>0</v>
      </c>
      <c r="Z268" s="38" t="b">
        <v>0</v>
      </c>
      <c r="AA268" s="38" t="b">
        <v>0</v>
      </c>
      <c r="AB268" s="38" t="b">
        <v>0</v>
      </c>
      <c r="AC268" s="38" t="b">
        <v>0</v>
      </c>
      <c r="AD268" s="38" t="b">
        <v>0</v>
      </c>
      <c r="AE268" s="38" t="b">
        <v>0</v>
      </c>
      <c r="AF268" s="38" t="b">
        <v>0</v>
      </c>
      <c r="AG268" s="38" t="b">
        <v>0</v>
      </c>
      <c r="AH268" s="38" t="b">
        <v>0</v>
      </c>
      <c r="AI268" s="38" t="b">
        <v>0</v>
      </c>
      <c r="AJ268" s="38" t="b">
        <v>0</v>
      </c>
      <c r="AK268" s="38" t="b">
        <v>0</v>
      </c>
      <c r="AL268" s="38" t="b">
        <v>0</v>
      </c>
      <c r="AM268" s="38" t="b">
        <v>0</v>
      </c>
      <c r="AN268" s="38" t="b">
        <v>0</v>
      </c>
      <c r="AO268" s="25">
        <f t="shared" si="148"/>
        <v>0</v>
      </c>
      <c r="AQ268" s="25">
        <f>IFERROR(__xludf.DUMMYFUNCTION("if(iserror(match(true,J268:AN268,0)),0,len(index(split(substitute(substitute(join("","",J268:AN268)&amp;"","",""TRUE,"",""x""),""FALSE,"","",""),"",""),,counta(split(substitute(substitute(join("","",J268:AN268)&amp;"","",""TRUE,"",""x""),""FALSE,"","",""),"",""))"&amp;")))"),0.0)</f>
        <v>0</v>
      </c>
      <c r="AR268" s="25" t="str">
        <f>IFERROR(__xludf.DUMMYFUNCTION("arrayformula( if( sum(J268:AN268 + 0), max( len( split( concatenate( left(J268:AN268) ), ""F"" ) ) ), ""0"" ) )"),"0")</f>
        <v>0</v>
      </c>
      <c r="AS268" s="26">
        <v>15.0</v>
      </c>
      <c r="AT268" s="27">
        <f t="shared" si="149"/>
        <v>0</v>
      </c>
    </row>
    <row r="269" hidden="1">
      <c r="A269" s="39"/>
      <c r="B269" s="40"/>
      <c r="C269" s="40"/>
      <c r="D269" s="40"/>
      <c r="E269" s="40"/>
      <c r="F269" s="40"/>
      <c r="G269" s="40"/>
      <c r="H269" s="40"/>
      <c r="I269" s="6"/>
      <c r="J269" s="38" t="b">
        <v>0</v>
      </c>
      <c r="K269" s="24" t="b">
        <v>0</v>
      </c>
      <c r="L269" s="38" t="b">
        <v>0</v>
      </c>
      <c r="M269" s="38" t="b">
        <v>0</v>
      </c>
      <c r="N269" s="38" t="b">
        <v>0</v>
      </c>
      <c r="O269" s="38" t="b">
        <v>0</v>
      </c>
      <c r="P269" s="38" t="b">
        <v>0</v>
      </c>
      <c r="Q269" s="38" t="b">
        <v>0</v>
      </c>
      <c r="R269" s="38" t="b">
        <v>0</v>
      </c>
      <c r="S269" s="38" t="b">
        <v>0</v>
      </c>
      <c r="T269" s="38" t="b">
        <v>0</v>
      </c>
      <c r="U269" s="38" t="b">
        <v>0</v>
      </c>
      <c r="V269" s="38" t="b">
        <v>0</v>
      </c>
      <c r="W269" s="38" t="b">
        <v>0</v>
      </c>
      <c r="X269" s="38" t="b">
        <v>0</v>
      </c>
      <c r="Y269" s="38" t="b">
        <v>0</v>
      </c>
      <c r="Z269" s="38" t="b">
        <v>0</v>
      </c>
      <c r="AA269" s="38" t="b">
        <v>0</v>
      </c>
      <c r="AB269" s="38" t="b">
        <v>0</v>
      </c>
      <c r="AC269" s="38" t="b">
        <v>0</v>
      </c>
      <c r="AD269" s="38" t="b">
        <v>0</v>
      </c>
      <c r="AE269" s="38" t="b">
        <v>0</v>
      </c>
      <c r="AF269" s="38" t="b">
        <v>0</v>
      </c>
      <c r="AG269" s="38" t="b">
        <v>0</v>
      </c>
      <c r="AH269" s="38" t="b">
        <v>0</v>
      </c>
      <c r="AI269" s="38" t="b">
        <v>0</v>
      </c>
      <c r="AJ269" s="38" t="b">
        <v>0</v>
      </c>
      <c r="AK269" s="38" t="b">
        <v>0</v>
      </c>
      <c r="AL269" s="38" t="b">
        <v>0</v>
      </c>
      <c r="AM269" s="38" t="b">
        <v>0</v>
      </c>
      <c r="AN269" s="38" t="b">
        <v>0</v>
      </c>
      <c r="AO269" s="25">
        <f t="shared" si="148"/>
        <v>0</v>
      </c>
      <c r="AQ269" s="25">
        <f>IFERROR(__xludf.DUMMYFUNCTION("if(iserror(match(true,J269:AN269,0)),0,len(index(split(substitute(substitute(join("","",J269:AN269)&amp;"","",""TRUE,"",""x""),""FALSE,"","",""),"",""),,counta(split(substitute(substitute(join("","",J269:AN269)&amp;"","",""TRUE,"",""x""),""FALSE,"","",""),"",""))"&amp;")))"),0.0)</f>
        <v>0</v>
      </c>
      <c r="AR269" s="25" t="str">
        <f>IFERROR(__xludf.DUMMYFUNCTION("arrayformula( if( sum(J269:AN269 + 0), max( len( split( concatenate( left(J269:AN269) ), ""F"" ) ) ), ""0"" ) )"),"0")</f>
        <v>0</v>
      </c>
      <c r="AS269" s="26">
        <v>15.0</v>
      </c>
      <c r="AT269" s="27">
        <f t="shared" si="149"/>
        <v>0</v>
      </c>
    </row>
    <row r="270" hidden="1">
      <c r="A270" s="39"/>
      <c r="B270" s="40"/>
      <c r="C270" s="40"/>
      <c r="D270" s="40"/>
      <c r="E270" s="40"/>
      <c r="F270" s="40"/>
      <c r="G270" s="40"/>
      <c r="H270" s="40"/>
      <c r="I270" s="6"/>
      <c r="J270" s="38" t="b">
        <v>0</v>
      </c>
      <c r="K270" s="24" t="b">
        <v>0</v>
      </c>
      <c r="L270" s="38" t="b">
        <v>0</v>
      </c>
      <c r="M270" s="38" t="b">
        <v>0</v>
      </c>
      <c r="N270" s="38" t="b">
        <v>0</v>
      </c>
      <c r="O270" s="38" t="b">
        <v>0</v>
      </c>
      <c r="P270" s="38" t="b">
        <v>0</v>
      </c>
      <c r="Q270" s="38" t="b">
        <v>0</v>
      </c>
      <c r="R270" s="38" t="b">
        <v>0</v>
      </c>
      <c r="S270" s="38" t="b">
        <v>0</v>
      </c>
      <c r="T270" s="38" t="b">
        <v>0</v>
      </c>
      <c r="U270" s="38" t="b">
        <v>0</v>
      </c>
      <c r="V270" s="38" t="b">
        <v>0</v>
      </c>
      <c r="W270" s="38" t="b">
        <v>0</v>
      </c>
      <c r="X270" s="38" t="b">
        <v>0</v>
      </c>
      <c r="Y270" s="38" t="b">
        <v>0</v>
      </c>
      <c r="Z270" s="38" t="b">
        <v>0</v>
      </c>
      <c r="AA270" s="38" t="b">
        <v>0</v>
      </c>
      <c r="AB270" s="38" t="b">
        <v>0</v>
      </c>
      <c r="AC270" s="38" t="b">
        <v>0</v>
      </c>
      <c r="AD270" s="38" t="b">
        <v>0</v>
      </c>
      <c r="AE270" s="38" t="b">
        <v>0</v>
      </c>
      <c r="AF270" s="38" t="b">
        <v>0</v>
      </c>
      <c r="AG270" s="38" t="b">
        <v>0</v>
      </c>
      <c r="AH270" s="38" t="b">
        <v>0</v>
      </c>
      <c r="AI270" s="38" t="b">
        <v>0</v>
      </c>
      <c r="AJ270" s="38" t="b">
        <v>0</v>
      </c>
      <c r="AK270" s="38" t="b">
        <v>0</v>
      </c>
      <c r="AL270" s="38" t="b">
        <v>0</v>
      </c>
      <c r="AM270" s="38" t="b">
        <v>0</v>
      </c>
      <c r="AN270" s="38" t="b">
        <v>0</v>
      </c>
      <c r="AO270" s="25">
        <f t="shared" si="148"/>
        <v>0</v>
      </c>
      <c r="AQ270" s="25">
        <f>IFERROR(__xludf.DUMMYFUNCTION("if(iserror(match(true,J270:AN270,0)),0,len(index(split(substitute(substitute(join("","",J270:AN270)&amp;"","",""TRUE,"",""x""),""FALSE,"","",""),"",""),,counta(split(substitute(substitute(join("","",J270:AN270)&amp;"","",""TRUE,"",""x""),""FALSE,"","",""),"",""))"&amp;")))"),0.0)</f>
        <v>0</v>
      </c>
      <c r="AR270" s="25" t="str">
        <f>IFERROR(__xludf.DUMMYFUNCTION("arrayformula( if( sum(J270:AN270 + 0), max( len( split( concatenate( left(J270:AN270) ), ""F"" ) ) ), ""0"" ) )"),"0")</f>
        <v>0</v>
      </c>
      <c r="AS270" s="26">
        <v>15.0</v>
      </c>
      <c r="AT270" s="27">
        <f t="shared" si="149"/>
        <v>0</v>
      </c>
    </row>
    <row r="271" hidden="1">
      <c r="A271" s="39"/>
      <c r="B271" s="40"/>
      <c r="C271" s="40"/>
      <c r="D271" s="40"/>
      <c r="E271" s="40"/>
      <c r="F271" s="40"/>
      <c r="G271" s="40"/>
      <c r="H271" s="40"/>
      <c r="I271" s="6"/>
      <c r="J271" s="38" t="b">
        <v>0</v>
      </c>
      <c r="K271" s="24" t="b">
        <v>0</v>
      </c>
      <c r="L271" s="38" t="b">
        <v>0</v>
      </c>
      <c r="M271" s="38" t="b">
        <v>0</v>
      </c>
      <c r="N271" s="38" t="b">
        <v>0</v>
      </c>
      <c r="O271" s="38" t="b">
        <v>0</v>
      </c>
      <c r="P271" s="38" t="b">
        <v>0</v>
      </c>
      <c r="Q271" s="38" t="b">
        <v>0</v>
      </c>
      <c r="R271" s="38" t="b">
        <v>0</v>
      </c>
      <c r="S271" s="38" t="b">
        <v>0</v>
      </c>
      <c r="T271" s="38" t="b">
        <v>0</v>
      </c>
      <c r="U271" s="38" t="b">
        <v>0</v>
      </c>
      <c r="V271" s="38" t="b">
        <v>0</v>
      </c>
      <c r="W271" s="38" t="b">
        <v>0</v>
      </c>
      <c r="X271" s="38" t="b">
        <v>0</v>
      </c>
      <c r="Y271" s="38" t="b">
        <v>0</v>
      </c>
      <c r="Z271" s="38" t="b">
        <v>0</v>
      </c>
      <c r="AA271" s="38" t="b">
        <v>0</v>
      </c>
      <c r="AB271" s="38" t="b">
        <v>0</v>
      </c>
      <c r="AC271" s="38" t="b">
        <v>0</v>
      </c>
      <c r="AD271" s="38" t="b">
        <v>0</v>
      </c>
      <c r="AE271" s="38" t="b">
        <v>0</v>
      </c>
      <c r="AF271" s="38" t="b">
        <v>0</v>
      </c>
      <c r="AG271" s="38" t="b">
        <v>0</v>
      </c>
      <c r="AH271" s="38" t="b">
        <v>0</v>
      </c>
      <c r="AI271" s="38" t="b">
        <v>0</v>
      </c>
      <c r="AJ271" s="38" t="b">
        <v>0</v>
      </c>
      <c r="AK271" s="38" t="b">
        <v>0</v>
      </c>
      <c r="AL271" s="38" t="b">
        <v>0</v>
      </c>
      <c r="AM271" s="38" t="b">
        <v>0</v>
      </c>
      <c r="AN271" s="38" t="b">
        <v>0</v>
      </c>
      <c r="AO271" s="25">
        <f t="shared" si="148"/>
        <v>0</v>
      </c>
      <c r="AQ271" s="25">
        <f>IFERROR(__xludf.DUMMYFUNCTION("if(iserror(match(true,J271:AN271,0)),0,len(index(split(substitute(substitute(join("","",J271:AN271)&amp;"","",""TRUE,"",""x""),""FALSE,"","",""),"",""),,counta(split(substitute(substitute(join("","",J271:AN271)&amp;"","",""TRUE,"",""x""),""FALSE,"","",""),"",""))"&amp;")))"),0.0)</f>
        <v>0</v>
      </c>
      <c r="AR271" s="25" t="str">
        <f>IFERROR(__xludf.DUMMYFUNCTION("arrayformula( if( sum(J271:AN271 + 0), max( len( split( concatenate( left(J271:AN271) ), ""F"" ) ) ), ""0"" ) )"),"0")</f>
        <v>0</v>
      </c>
      <c r="AS271" s="26">
        <v>15.0</v>
      </c>
      <c r="AT271" s="27">
        <f t="shared" si="149"/>
        <v>0</v>
      </c>
    </row>
    <row r="272" hidden="1">
      <c r="A272" s="39"/>
      <c r="B272" s="40"/>
      <c r="C272" s="40"/>
      <c r="D272" s="40"/>
      <c r="E272" s="40"/>
      <c r="F272" s="40"/>
      <c r="G272" s="40"/>
      <c r="H272" s="40"/>
      <c r="I272" s="6"/>
      <c r="J272" s="38" t="b">
        <v>0</v>
      </c>
      <c r="K272" s="24" t="b">
        <v>0</v>
      </c>
      <c r="L272" s="38" t="b">
        <v>0</v>
      </c>
      <c r="M272" s="38" t="b">
        <v>0</v>
      </c>
      <c r="N272" s="38" t="b">
        <v>0</v>
      </c>
      <c r="O272" s="38" t="b">
        <v>0</v>
      </c>
      <c r="P272" s="38" t="b">
        <v>0</v>
      </c>
      <c r="Q272" s="38" t="b">
        <v>0</v>
      </c>
      <c r="R272" s="38" t="b">
        <v>0</v>
      </c>
      <c r="S272" s="38" t="b">
        <v>0</v>
      </c>
      <c r="T272" s="38" t="b">
        <v>0</v>
      </c>
      <c r="U272" s="38" t="b">
        <v>0</v>
      </c>
      <c r="V272" s="38" t="b">
        <v>0</v>
      </c>
      <c r="W272" s="38" t="b">
        <v>0</v>
      </c>
      <c r="X272" s="38" t="b">
        <v>0</v>
      </c>
      <c r="Y272" s="38" t="b">
        <v>0</v>
      </c>
      <c r="Z272" s="38" t="b">
        <v>0</v>
      </c>
      <c r="AA272" s="38" t="b">
        <v>0</v>
      </c>
      <c r="AB272" s="38" t="b">
        <v>0</v>
      </c>
      <c r="AC272" s="38" t="b">
        <v>0</v>
      </c>
      <c r="AD272" s="38" t="b">
        <v>0</v>
      </c>
      <c r="AE272" s="38" t="b">
        <v>0</v>
      </c>
      <c r="AF272" s="38" t="b">
        <v>0</v>
      </c>
      <c r="AG272" s="38" t="b">
        <v>0</v>
      </c>
      <c r="AH272" s="38" t="b">
        <v>0</v>
      </c>
      <c r="AI272" s="38" t="b">
        <v>0</v>
      </c>
      <c r="AJ272" s="38" t="b">
        <v>0</v>
      </c>
      <c r="AK272" s="38" t="b">
        <v>0</v>
      </c>
      <c r="AL272" s="38" t="b">
        <v>0</v>
      </c>
      <c r="AM272" s="38" t="b">
        <v>0</v>
      </c>
      <c r="AN272" s="38" t="b">
        <v>0</v>
      </c>
      <c r="AO272" s="25">
        <f t="shared" si="148"/>
        <v>0</v>
      </c>
      <c r="AQ272" s="25">
        <f>IFERROR(__xludf.DUMMYFUNCTION("if(iserror(match(true,J272:AN272,0)),0,len(index(split(substitute(substitute(join("","",J272:AN272)&amp;"","",""TRUE,"",""x""),""FALSE,"","",""),"",""),,counta(split(substitute(substitute(join("","",J272:AN272)&amp;"","",""TRUE,"",""x""),""FALSE,"","",""),"",""))"&amp;")))"),0.0)</f>
        <v>0</v>
      </c>
      <c r="AR272" s="25" t="str">
        <f>IFERROR(__xludf.DUMMYFUNCTION("arrayformula( if( sum(J272:AN272 + 0), max( len( split( concatenate( left(J272:AN272) ), ""F"" ) ) ), ""0"" ) )"),"0")</f>
        <v>0</v>
      </c>
      <c r="AS272" s="26">
        <v>15.0</v>
      </c>
      <c r="AT272" s="27">
        <f t="shared" si="149"/>
        <v>0</v>
      </c>
    </row>
    <row r="273" hidden="1">
      <c r="A273" s="39"/>
      <c r="B273" s="40"/>
      <c r="C273" s="40"/>
      <c r="D273" s="40"/>
      <c r="E273" s="40"/>
      <c r="F273" s="40"/>
      <c r="G273" s="40"/>
      <c r="H273" s="40"/>
      <c r="I273" s="6"/>
      <c r="J273" s="38" t="b">
        <v>0</v>
      </c>
      <c r="K273" s="24" t="b">
        <v>0</v>
      </c>
      <c r="L273" s="38" t="b">
        <v>0</v>
      </c>
      <c r="M273" s="38" t="b">
        <v>0</v>
      </c>
      <c r="N273" s="38" t="b">
        <v>0</v>
      </c>
      <c r="O273" s="38" t="b">
        <v>0</v>
      </c>
      <c r="P273" s="38" t="b">
        <v>0</v>
      </c>
      <c r="Q273" s="38" t="b">
        <v>0</v>
      </c>
      <c r="R273" s="38" t="b">
        <v>0</v>
      </c>
      <c r="S273" s="38" t="b">
        <v>0</v>
      </c>
      <c r="T273" s="38" t="b">
        <v>0</v>
      </c>
      <c r="U273" s="38" t="b">
        <v>0</v>
      </c>
      <c r="V273" s="38" t="b">
        <v>0</v>
      </c>
      <c r="W273" s="38" t="b">
        <v>0</v>
      </c>
      <c r="X273" s="38" t="b">
        <v>0</v>
      </c>
      <c r="Y273" s="38" t="b">
        <v>0</v>
      </c>
      <c r="Z273" s="24" t="b">
        <v>0</v>
      </c>
      <c r="AA273" s="38" t="b">
        <v>0</v>
      </c>
      <c r="AB273" s="38" t="b">
        <v>0</v>
      </c>
      <c r="AC273" s="38" t="b">
        <v>0</v>
      </c>
      <c r="AD273" s="38" t="b">
        <v>0</v>
      </c>
      <c r="AE273" s="38" t="b">
        <v>0</v>
      </c>
      <c r="AF273" s="38" t="b">
        <v>0</v>
      </c>
      <c r="AG273" s="38" t="b">
        <v>0</v>
      </c>
      <c r="AH273" s="38" t="b">
        <v>0</v>
      </c>
      <c r="AI273" s="38" t="b">
        <v>0</v>
      </c>
      <c r="AJ273" s="38" t="b">
        <v>0</v>
      </c>
      <c r="AK273" s="38" t="b">
        <v>0</v>
      </c>
      <c r="AL273" s="38" t="b">
        <v>0</v>
      </c>
      <c r="AM273" s="38" t="b">
        <v>0</v>
      </c>
      <c r="AN273" s="38" t="b">
        <v>0</v>
      </c>
      <c r="AO273" s="25">
        <f t="shared" si="148"/>
        <v>0</v>
      </c>
      <c r="AQ273" s="25">
        <f>IFERROR(__xludf.DUMMYFUNCTION("if(iserror(match(true,J273:AN273,0)),0,len(index(split(substitute(substitute(join("","",J273:AN273)&amp;"","",""TRUE,"",""x""),""FALSE,"","",""),"",""),,counta(split(substitute(substitute(join("","",J273:AN273)&amp;"","",""TRUE,"",""x""),""FALSE,"","",""),"",""))"&amp;")))"),0.0)</f>
        <v>0</v>
      </c>
      <c r="AR273" s="25" t="str">
        <f>IFERROR(__xludf.DUMMYFUNCTION("arrayformula( if( sum(J273:AN273 + 0), max( len( split( concatenate( left(J273:AN273) ), ""F"" ) ) ), ""0"" ) )"),"0")</f>
        <v>0</v>
      </c>
      <c r="AS273" s="26">
        <v>15.0</v>
      </c>
      <c r="AT273" s="27">
        <f t="shared" si="149"/>
        <v>0</v>
      </c>
    </row>
    <row r="274" hidden="1">
      <c r="A274" s="39"/>
      <c r="B274" s="40"/>
      <c r="C274" s="40"/>
      <c r="D274" s="40"/>
      <c r="E274" s="40"/>
      <c r="F274" s="40"/>
      <c r="G274" s="40"/>
      <c r="H274" s="40"/>
      <c r="I274" s="6"/>
      <c r="J274" s="38" t="b">
        <v>0</v>
      </c>
      <c r="K274" s="24" t="b">
        <v>0</v>
      </c>
      <c r="L274" s="38" t="b">
        <v>0</v>
      </c>
      <c r="M274" s="38" t="b">
        <v>0</v>
      </c>
      <c r="N274" s="38" t="b">
        <v>0</v>
      </c>
      <c r="O274" s="38" t="b">
        <v>0</v>
      </c>
      <c r="P274" s="38" t="b">
        <v>0</v>
      </c>
      <c r="Q274" s="38" t="b">
        <v>0</v>
      </c>
      <c r="R274" s="38" t="b">
        <v>0</v>
      </c>
      <c r="S274" s="38" t="b">
        <v>0</v>
      </c>
      <c r="T274" s="38" t="b">
        <v>0</v>
      </c>
      <c r="U274" s="38" t="b">
        <v>0</v>
      </c>
      <c r="V274" s="38" t="b">
        <v>0</v>
      </c>
      <c r="W274" s="38" t="b">
        <v>0</v>
      </c>
      <c r="X274" s="38" t="b">
        <v>0</v>
      </c>
      <c r="Y274" s="38" t="b">
        <v>0</v>
      </c>
      <c r="Z274" s="24" t="b">
        <v>0</v>
      </c>
      <c r="AA274" s="38" t="b">
        <v>0</v>
      </c>
      <c r="AB274" s="38" t="b">
        <v>0</v>
      </c>
      <c r="AC274" s="38" t="b">
        <v>0</v>
      </c>
      <c r="AD274" s="38" t="b">
        <v>0</v>
      </c>
      <c r="AE274" s="38" t="b">
        <v>0</v>
      </c>
      <c r="AF274" s="38" t="b">
        <v>0</v>
      </c>
      <c r="AG274" s="38" t="b">
        <v>0</v>
      </c>
      <c r="AH274" s="38" t="b">
        <v>0</v>
      </c>
      <c r="AI274" s="38" t="b">
        <v>0</v>
      </c>
      <c r="AJ274" s="38" t="b">
        <v>0</v>
      </c>
      <c r="AK274" s="38" t="b">
        <v>0</v>
      </c>
      <c r="AL274" s="38" t="b">
        <v>0</v>
      </c>
      <c r="AM274" s="38" t="b">
        <v>0</v>
      </c>
      <c r="AN274" s="38" t="b">
        <v>0</v>
      </c>
      <c r="AO274" s="25">
        <f t="shared" si="148"/>
        <v>0</v>
      </c>
      <c r="AQ274" s="25">
        <f>IFERROR(__xludf.DUMMYFUNCTION("if(iserror(match(true,J274:AN274,0)),0,len(index(split(substitute(substitute(join("","",J274:AN274)&amp;"","",""TRUE,"",""x""),""FALSE,"","",""),"",""),,counta(split(substitute(substitute(join("","",J274:AN274)&amp;"","",""TRUE,"",""x""),""FALSE,"","",""),"",""))"&amp;")))"),0.0)</f>
        <v>0</v>
      </c>
      <c r="AR274" s="25" t="str">
        <f>IFERROR(__xludf.DUMMYFUNCTION("arrayformula( if( sum(J274:AN274 + 0), max( len( split( concatenate( left(J274:AN274) ), ""F"" ) ) ), ""0"" ) )"),"0")</f>
        <v>0</v>
      </c>
      <c r="AS274" s="26">
        <v>15.0</v>
      </c>
      <c r="AT274" s="27">
        <f t="shared" si="149"/>
        <v>0</v>
      </c>
    </row>
    <row r="275" hidden="1">
      <c r="A275" s="39"/>
      <c r="B275" s="40"/>
      <c r="C275" s="40"/>
      <c r="D275" s="40"/>
      <c r="E275" s="40"/>
      <c r="F275" s="40"/>
      <c r="G275" s="40"/>
      <c r="H275" s="40"/>
      <c r="I275" s="6"/>
      <c r="J275" s="24" t="b">
        <v>0</v>
      </c>
      <c r="K275" s="24" t="b">
        <v>0</v>
      </c>
      <c r="L275" s="38" t="b">
        <v>0</v>
      </c>
      <c r="M275" s="38" t="b">
        <v>0</v>
      </c>
      <c r="N275" s="38" t="b">
        <v>0</v>
      </c>
      <c r="O275" s="38" t="b">
        <v>0</v>
      </c>
      <c r="P275" s="38" t="b">
        <v>0</v>
      </c>
      <c r="Q275" s="38" t="b">
        <v>0</v>
      </c>
      <c r="R275" s="38" t="b">
        <v>0</v>
      </c>
      <c r="S275" s="38" t="b">
        <v>0</v>
      </c>
      <c r="T275" s="38" t="b">
        <v>0</v>
      </c>
      <c r="U275" s="38" t="b">
        <v>0</v>
      </c>
      <c r="V275" s="38" t="b">
        <v>0</v>
      </c>
      <c r="W275" s="38" t="b">
        <v>0</v>
      </c>
      <c r="X275" s="38" t="b">
        <v>0</v>
      </c>
      <c r="Y275" s="38" t="b">
        <v>0</v>
      </c>
      <c r="Z275" s="38" t="b">
        <v>0</v>
      </c>
      <c r="AA275" s="38" t="b">
        <v>0</v>
      </c>
      <c r="AB275" s="38" t="b">
        <v>0</v>
      </c>
      <c r="AC275" s="38" t="b">
        <v>0</v>
      </c>
      <c r="AD275" s="38" t="b">
        <v>0</v>
      </c>
      <c r="AE275" s="38" t="b">
        <v>0</v>
      </c>
      <c r="AF275" s="38" t="b">
        <v>0</v>
      </c>
      <c r="AG275" s="38" t="b">
        <v>0</v>
      </c>
      <c r="AH275" s="38" t="b">
        <v>0</v>
      </c>
      <c r="AI275" s="38" t="b">
        <v>0</v>
      </c>
      <c r="AJ275" s="38" t="b">
        <v>0</v>
      </c>
      <c r="AK275" s="38" t="b">
        <v>0</v>
      </c>
      <c r="AL275" s="24" t="b">
        <v>0</v>
      </c>
      <c r="AM275" s="24" t="b">
        <v>0</v>
      </c>
      <c r="AN275" s="24" t="b">
        <v>0</v>
      </c>
      <c r="AO275" s="25">
        <f t="shared" si="148"/>
        <v>0</v>
      </c>
      <c r="AQ275" s="25">
        <f>IFERROR(__xludf.DUMMYFUNCTION("if(iserror(match(true,J275:AN275,0)),0,len(index(split(substitute(substitute(join("","",J275:AN275)&amp;"","",""TRUE,"",""x""),""FALSE,"","",""),"",""),,counta(split(substitute(substitute(join("","",J275:AN275)&amp;"","",""TRUE,"",""x""),""FALSE,"","",""),"",""))"&amp;")))"),0.0)</f>
        <v>0</v>
      </c>
      <c r="AR275" s="25" t="str">
        <f>IFERROR(__xludf.DUMMYFUNCTION("arrayformula( if( sum(J275:AN275 + 0), max( len( split( concatenate( left(J275:AN275) ), ""F"" ) ) ), ""0"" ) )"),"0")</f>
        <v>0</v>
      </c>
      <c r="AS275" s="26">
        <v>15.0</v>
      </c>
      <c r="AT275" s="27">
        <f t="shared" si="149"/>
        <v>0</v>
      </c>
    </row>
    <row r="276">
      <c r="A276" s="51"/>
      <c r="B276" s="51"/>
      <c r="C276" s="51"/>
      <c r="D276" s="51"/>
      <c r="E276" s="51"/>
      <c r="F276" s="51"/>
      <c r="G276" s="51"/>
      <c r="H276" s="51"/>
      <c r="I276" s="51"/>
      <c r="J276" s="24" t="str">
        <f t="array" ref="J276">IF(COUNTIF(J256:J275, "TRUE") = 1, Setup!$E$4, 
IF(COUNTIF(J256:J275, "TRUE") = 0, Setup!$E$3,
IF(COUNTIF(J256:J275, "TRUE") = 2, Setup!$E$5, 
IF(COUNTIF(J256:J275, "TRUE") = 3, Setup!$E$6, 
IF(COUNTIF(J256:J275, "TRUE") = 4, Setup!$E$7, 
IF(COUNTIF(J256:J275, "TRUE") = 5, Setup!$E$8, 
IF(COUNTIF(J256:J275, "TRUE") &gt;= 6, Setup!$E$9)))
))))</f>
        <v/>
      </c>
      <c r="K276" s="24" t="str">
        <f t="array" ref="K276">IF(COUNTIF(K256:K275, "TRUE") = 1, Setup!$E$4, 
IF(COUNTIF(K256:K275, "TRUE") = 0, Setup!$E$3,
IF(COUNTIF(K256:K275, "TRUE") = 2, Setup!$E$5, 
IF(COUNTIF(K256:K275, "TRUE") = 3, Setup!$E$6, 
IF(COUNTIF(K256:K275, "TRUE") = 4, Setup!$E$7, 
IF(COUNTIF(K256:K275, "TRUE") = 5, Setup!$E$8, 
IF(COUNTIF(K256:K275, "TRUE") &gt;= 6, Setup!$E$9)))
))))</f>
        <v/>
      </c>
      <c r="L276" s="24" t="str">
        <f t="array" ref="L276">IF(COUNTIF(L256:L275, "TRUE") = 1, Setup!$E$4, 
IF(COUNTIF(L256:L275, "TRUE") = 0, Setup!$E$3,
IF(COUNTIF(L256:L275, "TRUE") = 2, Setup!$E$5, 
IF(COUNTIF(L256:L275, "TRUE") = 3, Setup!$E$6, 
IF(COUNTIF(L256:L275, "TRUE") = 4, Setup!$E$7, 
IF(COUNTIF(L256:L275, "TRUE") = 5, Setup!$E$8, 
IF(COUNTIF(L256:L275, "TRUE") &gt;= 6, Setup!$E$9)))
))))</f>
        <v/>
      </c>
      <c r="M276" s="24" t="str">
        <f t="array" ref="M276">IF(COUNTIF(M256:M275, "TRUE") = 1, Setup!$E$4, 
IF(COUNTIF(M256:M275, "TRUE") = 0, Setup!$E$3,
IF(COUNTIF(M256:M275, "TRUE") = 2, Setup!$E$5, 
IF(COUNTIF(M256:M275, "TRUE") = 3, Setup!$E$6, 
IF(COUNTIF(M256:M275, "TRUE") = 4, Setup!$E$7, 
IF(COUNTIF(M256:M275, "TRUE") = 5, Setup!$E$8, 
IF(COUNTIF(M256:M275, "TRUE") &gt;= 6, Setup!$E$9)))
))))</f>
        <v/>
      </c>
      <c r="N276" s="24" t="str">
        <f t="array" ref="N276">IF(COUNTIF(N256:N275, "TRUE") = 1, Setup!$E$4, 
IF(COUNTIF(N256:N275, "TRUE") = 0, Setup!$E$3,
IF(COUNTIF(N256:N275, "TRUE") = 2, Setup!$E$5, 
IF(COUNTIF(N256:N275, "TRUE") = 3, Setup!$E$6, 
IF(COUNTIF(N256:N275, "TRUE") = 4, Setup!$E$7, 
IF(COUNTIF(N256:N275, "TRUE") = 5, Setup!$E$8, 
IF(COUNTIF(N256:N275, "TRUE") &gt;= 6, Setup!$E$9)))
))))</f>
        <v/>
      </c>
      <c r="O276" s="24" t="str">
        <f t="array" ref="O276">IF(COUNTIF(O256:O275, "TRUE") = 1, Setup!$E$4, 
IF(COUNTIF(O256:O275, "TRUE") = 0, Setup!$E$3,
IF(COUNTIF(O256:O275, "TRUE") = 2, Setup!$E$5, 
IF(COUNTIF(O256:O275, "TRUE") = 3, Setup!$E$6, 
IF(COUNTIF(O256:O275, "TRUE") = 4, Setup!$E$7, 
IF(COUNTIF(O256:O275, "TRUE") = 5, Setup!$E$8, 
IF(COUNTIF(O256:O275, "TRUE") &gt;= 6, Setup!$E$9)))
))))</f>
        <v/>
      </c>
      <c r="P276" s="24" t="str">
        <f t="array" ref="P276">IF(COUNTIF(P256:P275, "TRUE") = 1, Setup!$E$4, 
IF(COUNTIF(P256:P275, "TRUE") = 0, Setup!$E$3,
IF(COUNTIF(P256:P275, "TRUE") = 2, Setup!$E$5, 
IF(COUNTIF(P256:P275, "TRUE") = 3, Setup!$E$6, 
IF(COUNTIF(P256:P275, "TRUE") = 4, Setup!$E$7, 
IF(COUNTIF(P256:P275, "TRUE") = 5, Setup!$E$8, 
IF(COUNTIF(P256:P275, "TRUE") &gt;= 6, Setup!$E$9)))
))))</f>
        <v/>
      </c>
      <c r="Q276" s="24" t="str">
        <f t="array" ref="Q276">IF(COUNTIF(Q256:Q275, "TRUE") = 1, Setup!$E$4, 
IF(COUNTIF(Q256:Q275, "TRUE") = 0, Setup!$E$3,
IF(COUNTIF(Q256:Q275, "TRUE") = 2, Setup!$E$5, 
IF(COUNTIF(Q256:Q275, "TRUE") = 3, Setup!$E$6, 
IF(COUNTIF(Q256:Q275, "TRUE") = 4, Setup!$E$7, 
IF(COUNTIF(Q256:Q275, "TRUE") = 5, Setup!$E$8, 
IF(COUNTIF(Q256:Q275, "TRUE") &gt;= 6, Setup!$E$9)))
))))</f>
        <v/>
      </c>
      <c r="R276" s="24" t="str">
        <f t="array" ref="R276">IF(COUNTIF(R256:R275, "TRUE") = 1, Setup!$E$4, 
IF(COUNTIF(R256:R275, "TRUE") = 0, Setup!$E$3,
IF(COUNTIF(R256:R275, "TRUE") = 2, Setup!$E$5, 
IF(COUNTIF(R256:R275, "TRUE") = 3, Setup!$E$6, 
IF(COUNTIF(R256:R275, "TRUE") = 4, Setup!$E$7, 
IF(COUNTIF(R256:R275, "TRUE") = 5, Setup!$E$8, 
IF(COUNTIF(R256:R275, "TRUE") &gt;= 6, Setup!$E$9)))
))))</f>
        <v/>
      </c>
      <c r="S276" s="24" t="str">
        <f t="array" ref="S276">IF(COUNTIF(S256:S275, "TRUE") = 1, Setup!$E$4, 
IF(COUNTIF(S256:S275, "TRUE") = 0, Setup!$E$3,
IF(COUNTIF(S256:S275, "TRUE") = 2, Setup!$E$5, 
IF(COUNTIF(S256:S275, "TRUE") = 3, Setup!$E$6, 
IF(COUNTIF(S256:S275, "TRUE") = 4, Setup!$E$7, 
IF(COUNTIF(S256:S275, "TRUE") = 5, Setup!$E$8, 
IF(COUNTIF(S256:S275, "TRUE") &gt;= 6, Setup!$E$9)))
))))</f>
        <v/>
      </c>
      <c r="T276" s="24" t="str">
        <f t="array" ref="T276">IF(COUNTIF(T256:T275, "TRUE") = 1, Setup!$E$4, 
IF(COUNTIF(T256:T275, "TRUE") = 0, Setup!$E$3,
IF(COUNTIF(T256:T275, "TRUE") = 2, Setup!$E$5, 
IF(COUNTIF(T256:T275, "TRUE") = 3, Setup!$E$6, 
IF(COUNTIF(T256:T275, "TRUE") = 4, Setup!$E$7, 
IF(COUNTIF(T256:T275, "TRUE") = 5, Setup!$E$8, 
IF(COUNTIF(T256:T275, "TRUE") &gt;= 6, Setup!$E$9)))
))))</f>
        <v/>
      </c>
      <c r="U276" s="24" t="str">
        <f t="array" ref="U276">IF(COUNTIF(U256:U275, "TRUE") = 1, Setup!$E$4, 
IF(COUNTIF(U256:U275, "TRUE") = 0, Setup!$E$3,
IF(COUNTIF(U256:U275, "TRUE") = 2, Setup!$E$5, 
IF(COUNTIF(U256:U275, "TRUE") = 3, Setup!$E$6, 
IF(COUNTIF(U256:U275, "TRUE") = 4, Setup!$E$7, 
IF(COUNTIF(U256:U275, "TRUE") = 5, Setup!$E$8, 
IF(COUNTIF(U256:U275, "TRUE") &gt;= 6, Setup!$E$9)))
))))</f>
        <v/>
      </c>
      <c r="V276" s="24" t="str">
        <f t="array" ref="V276">IF(COUNTIF(V256:V275, "TRUE") = 1, Setup!$E$4, 
IF(COUNTIF(V256:V275, "TRUE") = 0, Setup!$E$3,
IF(COUNTIF(V256:V275, "TRUE") = 2, Setup!$E$5, 
IF(COUNTIF(V256:V275, "TRUE") = 3, Setup!$E$6, 
IF(COUNTIF(V256:V275, "TRUE") = 4, Setup!$E$7, 
IF(COUNTIF(V256:V275, "TRUE") = 5, Setup!$E$8, 
IF(COUNTIF(V256:V275, "TRUE") &gt;= 6, Setup!$E$9)))
))))</f>
        <v/>
      </c>
      <c r="W276" s="24" t="str">
        <f t="array" ref="W276">IF(COUNTIF(W256:W275, "TRUE") = 1, Setup!$E$4, 
IF(COUNTIF(W256:W275, "TRUE") = 0, Setup!$E$3,
IF(COUNTIF(W256:W275, "TRUE") = 2, Setup!$E$5, 
IF(COUNTIF(W256:W275, "TRUE") = 3, Setup!$E$6, 
IF(COUNTIF(W256:W275, "TRUE") = 4, Setup!$E$7, 
IF(COUNTIF(W256:W275, "TRUE") = 5, Setup!$E$8, 
IF(COUNTIF(W256:W275, "TRUE") &gt;= 6, Setup!$E$9)))
))))</f>
        <v/>
      </c>
      <c r="X276" s="24" t="str">
        <f t="array" ref="X276">IF(COUNTIF(X256:X275, "TRUE") = 1, Setup!$E$4, 
IF(COUNTIF(X256:X275, "TRUE") = 0, Setup!$E$3,
IF(COUNTIF(X256:X275, "TRUE") = 2, Setup!$E$5, 
IF(COUNTIF(X256:X275, "TRUE") = 3, Setup!$E$6, 
IF(COUNTIF(X256:X275, "TRUE") = 4, Setup!$E$7, 
IF(COUNTIF(X256:X275, "TRUE") = 5, Setup!$E$8, 
IF(COUNTIF(X256:X275, "TRUE") &gt;= 6, Setup!$E$9)))
))))</f>
        <v/>
      </c>
      <c r="Y276" s="24" t="str">
        <f t="array" ref="Y276">IF(COUNTIF(Y256:Y275, "TRUE") = 1, Setup!$E$4, 
IF(COUNTIF(Y256:Y275, "TRUE") = 0, Setup!$E$3,
IF(COUNTIF(Y256:Y275, "TRUE") = 2, Setup!$E$5, 
IF(COUNTIF(Y256:Y275, "TRUE") = 3, Setup!$E$6, 
IF(COUNTIF(Y256:Y275, "TRUE") = 4, Setup!$E$7, 
IF(COUNTIF(Y256:Y275, "TRUE") = 5, Setup!$E$8, 
IF(COUNTIF(Y256:Y275, "TRUE") &gt;= 6, Setup!$E$9)))
))))</f>
        <v/>
      </c>
      <c r="Z276" s="24" t="str">
        <f t="array" ref="Z276">IF(COUNTIF(Z256:Z275, "TRUE") = 1, Setup!$E$4, 
IF(COUNTIF(Z256:Z275, "TRUE") = 0, Setup!$E$3,
IF(COUNTIF(Z256:Z275, "TRUE") = 2, Setup!$E$5, 
IF(COUNTIF(Z256:Z275, "TRUE") = 3, Setup!$E$6, 
IF(COUNTIF(Z256:Z275, "TRUE") = 4, Setup!$E$7, 
IF(COUNTIF(Z256:Z275, "TRUE") = 5, Setup!$E$8, 
IF(COUNTIF(Z256:Z275, "TRUE") &gt;= 6, Setup!$E$9)))
))))</f>
        <v/>
      </c>
      <c r="AA276" s="24" t="str">
        <f t="array" ref="AA276">IF(COUNTIF(AA256:AA275, "TRUE") = 1, Setup!$E$4, 
IF(COUNTIF(AA256:AA275, "TRUE") = 0, Setup!$E$3,
IF(COUNTIF(AA256:AA275, "TRUE") = 2, Setup!$E$5, 
IF(COUNTIF(AA256:AA275, "TRUE") = 3, Setup!$E$6, 
IF(COUNTIF(AA256:AA275, "TRUE") = 4, Setup!$E$7, 
IF(COUNTIF(AA256:AA275, "TRUE") = 5, Setup!$E$8, 
IF(COUNTIF(AA256:AA275, "TRUE") &gt;= 6, Setup!$E$9)))
))))</f>
        <v/>
      </c>
      <c r="AB276" s="24" t="str">
        <f t="array" ref="AB276">IF(COUNTIF(AB256:AB275, "TRUE") = 1, Setup!$E$4, 
IF(COUNTIF(AB256:AB275, "TRUE") = 0, Setup!$E$3,
IF(COUNTIF(AB256:AB275, "TRUE") = 2, Setup!$E$5, 
IF(COUNTIF(AB256:AB275, "TRUE") = 3, Setup!$E$6, 
IF(COUNTIF(AB256:AB275, "TRUE") = 4, Setup!$E$7, 
IF(COUNTIF(AB256:AB275, "TRUE") = 5, Setup!$E$8, 
IF(COUNTIF(AB256:AB275, "TRUE") &gt;= 6, Setup!$E$9)))
))))</f>
        <v/>
      </c>
      <c r="AC276" s="24" t="str">
        <f t="array" ref="AC276">IF(COUNTIF(AC256:AC275, "TRUE") = 1, Setup!$E$4, 
IF(COUNTIF(AC256:AC275, "TRUE") = 0, Setup!$E$3,
IF(COUNTIF(AC256:AC275, "TRUE") = 2, Setup!$E$5, 
IF(COUNTIF(AC256:AC275, "TRUE") = 3, Setup!$E$6, 
IF(COUNTIF(AC256:AC275, "TRUE") = 4, Setup!$E$7, 
IF(COUNTIF(AC256:AC275, "TRUE") = 5, Setup!$E$8, 
IF(COUNTIF(AC256:AC275, "TRUE") &gt;= 6, Setup!$E$9)))
))))</f>
        <v/>
      </c>
      <c r="AD276" s="24" t="str">
        <f t="array" ref="AD276">IF(COUNTIF(AD256:AD275, "TRUE") = 1, Setup!$E$4, 
IF(COUNTIF(AD256:AD275, "TRUE") = 0, Setup!$E$3,
IF(COUNTIF(AD256:AD275, "TRUE") = 2, Setup!$E$5, 
IF(COUNTIF(AD256:AD275, "TRUE") = 3, Setup!$E$6, 
IF(COUNTIF(AD256:AD275, "TRUE") = 4, Setup!$E$7, 
IF(COUNTIF(AD256:AD275, "TRUE") = 5, Setup!$E$8, 
IF(COUNTIF(AD256:AD275, "TRUE") &gt;= 6, Setup!$E$9)))
))))</f>
        <v/>
      </c>
      <c r="AE276" s="24" t="str">
        <f t="array" ref="AE276">IF(COUNTIF(AE256:AE275, "TRUE") = 1, Setup!$E$4, 
IF(COUNTIF(AE256:AE275, "TRUE") = 0, Setup!$E$3,
IF(COUNTIF(AE256:AE275, "TRUE") = 2, Setup!$E$5, 
IF(COUNTIF(AE256:AE275, "TRUE") = 3, Setup!$E$6, 
IF(COUNTIF(AE256:AE275, "TRUE") = 4, Setup!$E$7, 
IF(COUNTIF(AE256:AE275, "TRUE") = 5, Setup!$E$8, 
IF(COUNTIF(AE256:AE275, "TRUE") &gt;= 6, Setup!$E$9)))
))))</f>
        <v/>
      </c>
      <c r="AF276" s="24" t="str">
        <f t="array" ref="AF276">IF(COUNTIF(AF256:AF275, "TRUE") = 1, Setup!$E$4, 
IF(COUNTIF(AF256:AF275, "TRUE") = 0, Setup!$E$3,
IF(COUNTIF(AF256:AF275, "TRUE") = 2, Setup!$E$5, 
IF(COUNTIF(AF256:AF275, "TRUE") = 3, Setup!$E$6, 
IF(COUNTIF(AF256:AF275, "TRUE") = 4, Setup!$E$7, 
IF(COUNTIF(AF256:AF275, "TRUE") = 5, Setup!$E$8, 
IF(COUNTIF(AF256:AF275, "TRUE") &gt;= 6, Setup!$E$9)))
))))</f>
        <v/>
      </c>
      <c r="AG276" s="24" t="str">
        <f t="array" ref="AG276">IF(COUNTIF(AG256:AG275, "TRUE") = 1, Setup!$E$4, 
IF(COUNTIF(AG256:AG275, "TRUE") = 0, Setup!$E$3,
IF(COUNTIF(AG256:AG275, "TRUE") = 2, Setup!$E$5, 
IF(COUNTIF(AG256:AG275, "TRUE") = 3, Setup!$E$6, 
IF(COUNTIF(AG256:AG275, "TRUE") = 4, Setup!$E$7, 
IF(COUNTIF(AG256:AG275, "TRUE") = 5, Setup!$E$8, 
IF(COUNTIF(AG256:AG275, "TRUE") &gt;= 6, Setup!$E$9)))
))))</f>
        <v/>
      </c>
      <c r="AH276" s="24" t="str">
        <f t="array" ref="AH276">IF(COUNTIF(AH256:AH275, "TRUE") = 1, Setup!$E$4, 
IF(COUNTIF(AH256:AH275, "TRUE") = 0, Setup!$E$3,
IF(COUNTIF(AH256:AH275, "TRUE") = 2, Setup!$E$5, 
IF(COUNTIF(AH256:AH275, "TRUE") = 3, Setup!$E$6, 
IF(COUNTIF(AH256:AH275, "TRUE") = 4, Setup!$E$7, 
IF(COUNTIF(AH256:AH275, "TRUE") = 5, Setup!$E$8, 
IF(COUNTIF(AH256:AH275, "TRUE") &gt;= 6, Setup!$E$9)))
))))</f>
        <v/>
      </c>
      <c r="AI276" s="24" t="str">
        <f t="array" ref="AI276">IF(COUNTIF(AI256:AI275, "TRUE") = 1, Setup!$E$4, 
IF(COUNTIF(AI256:AI275, "TRUE") = 0, Setup!$E$3,
IF(COUNTIF(AI256:AI275, "TRUE") = 2, Setup!$E$5, 
IF(COUNTIF(AI256:AI275, "TRUE") = 3, Setup!$E$6, 
IF(COUNTIF(AI256:AI275, "TRUE") = 4, Setup!$E$7, 
IF(COUNTIF(AI256:AI275, "TRUE") = 5, Setup!$E$8, 
IF(COUNTIF(AI256:AI275, "TRUE") &gt;= 6, Setup!$E$9)))
))))</f>
        <v/>
      </c>
      <c r="AJ276" s="24" t="str">
        <f t="array" ref="AJ276">IF(COUNTIF(AJ256:AJ275, "TRUE") = 1, Setup!$E$4, 
IF(COUNTIF(AJ256:AJ275, "TRUE") = 0, Setup!$E$3,
IF(COUNTIF(AJ256:AJ275, "TRUE") = 2, Setup!$E$5, 
IF(COUNTIF(AJ256:AJ275, "TRUE") = 3, Setup!$E$6, 
IF(COUNTIF(AJ256:AJ275, "TRUE") = 4, Setup!$E$7, 
IF(COUNTIF(AJ256:AJ275, "TRUE") = 5, Setup!$E$8, 
IF(COUNTIF(AJ256:AJ275, "TRUE") &gt;= 6, Setup!$E$9)))
))))</f>
        <v/>
      </c>
      <c r="AK276" s="24" t="str">
        <f t="array" ref="AK276">IF(COUNTIF(AK256:AK275, "TRUE") = 1, Setup!$E$4, 
IF(COUNTIF(AK256:AK275, "TRUE") = 0, Setup!$E$3,
IF(COUNTIF(AK256:AK275, "TRUE") = 2, Setup!$E$5, 
IF(COUNTIF(AK256:AK275, "TRUE") = 3, Setup!$E$6, 
IF(COUNTIF(AK256:AK275, "TRUE") = 4, Setup!$E$7, 
IF(COUNTIF(AK256:AK275, "TRUE") = 5, Setup!$E$8, 
IF(COUNTIF(AK256:AK275, "TRUE") &gt;= 6, Setup!$E$9)))
))))</f>
        <v/>
      </c>
      <c r="AL276" s="24" t="str">
        <f t="array" ref="AL276">IF(COUNTIF(AL256:AL275, "TRUE") = 1, Setup!$E$4, 
IF(COUNTIF(AL256:AL275, "TRUE") = 0, Setup!$E$3,
IF(COUNTIF(AL256:AL275, "TRUE") = 2, Setup!$E$5, 
IF(COUNTIF(AL256:AL275, "TRUE") = 3, Setup!$E$6, 
IF(COUNTIF(AL256:AL275, "TRUE") = 4, Setup!$E$7, 
IF(COUNTIF(AL256:AL275, "TRUE") = 5, Setup!$E$8, 
IF(COUNTIF(AL256:AL275, "TRUE") &gt;= 6, Setup!$E$9)))
))))</f>
        <v/>
      </c>
      <c r="AM276" s="24" t="str">
        <f t="array" ref="AM276">IF(COUNTIF(AM256:AM275, "TRUE") = 1, Setup!$E$4, 
IF(COUNTIF(AM256:AM275, "TRUE") = 0, Setup!$E$3,
IF(COUNTIF(AM256:AM275, "TRUE") = 2, Setup!$E$5, 
IF(COUNTIF(AM256:AM275, "TRUE") = 3, Setup!$E$6, 
IF(COUNTIF(AM256:AM275, "TRUE") = 4, Setup!$E$7, 
IF(COUNTIF(AM256:AM275, "TRUE") = 5, Setup!$E$8, 
IF(COUNTIF(AM256:AM275, "TRUE") &gt;= 6, Setup!$E$9)))
))))</f>
        <v/>
      </c>
      <c r="AN276" s="24" t="str">
        <f t="array" ref="AN276">IF(COUNTIF(AN256:AN275, "TRUE") = 1, Setup!$E$4, 
IF(COUNTIF(AN256:AN275, "TRUE") = 0, Setup!$E$3,
IF(COUNTIF(AN256:AN275, "TRUE") = 2, Setup!$E$5, 
IF(COUNTIF(AN256:AN275, "TRUE") = 3, Setup!$E$6, 
IF(COUNTIF(AN256:AN275, "TRUE") = 4, Setup!$E$7, 
IF(COUNTIF(AN256:AN275, "TRUE") = 5, Setup!$E$8, 
IF(COUNTIF(AN256:AN275, "TRUE") &gt;= 6, Setup!$E$9)))
))))</f>
        <v/>
      </c>
      <c r="AO276" s="38"/>
      <c r="AQ276" s="38"/>
      <c r="AR276" s="38"/>
      <c r="AS276" s="38"/>
      <c r="AT276" s="38"/>
    </row>
    <row r="277">
      <c r="A277" s="56" t="s">
        <v>68</v>
      </c>
      <c r="C277" s="57"/>
      <c r="D277" s="6"/>
      <c r="E277" s="6"/>
      <c r="F277" s="6"/>
      <c r="G277" s="6"/>
      <c r="H277" s="6"/>
      <c r="I277" s="6"/>
      <c r="J277" s="58" t="s">
        <v>69</v>
      </c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  <c r="AK277" s="57"/>
      <c r="AL277" s="57"/>
      <c r="AM277" s="57"/>
      <c r="AN277" s="57"/>
      <c r="AO277" s="59"/>
      <c r="AP277" s="59"/>
      <c r="AQ277" s="6"/>
      <c r="AR277" s="6"/>
      <c r="AS277" s="6"/>
      <c r="AT277" s="6"/>
    </row>
    <row r="278">
      <c r="C278" s="60" t="s">
        <v>70</v>
      </c>
      <c r="I278" s="6"/>
      <c r="J278" s="61" t="s">
        <v>71</v>
      </c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3"/>
      <c r="AR278" s="6"/>
      <c r="AS278" s="6"/>
      <c r="AT278" s="6"/>
    </row>
    <row r="279">
      <c r="A279" s="64"/>
      <c r="B279" s="64"/>
      <c r="C279" s="65"/>
      <c r="D279" s="6"/>
      <c r="E279" s="6"/>
      <c r="F279" s="6"/>
      <c r="G279" s="6"/>
      <c r="H279" s="6"/>
      <c r="I279" s="6"/>
      <c r="J279" s="66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  <c r="AI279" s="67"/>
      <c r="AJ279" s="67"/>
      <c r="AK279" s="67"/>
      <c r="AL279" s="67"/>
      <c r="AM279" s="67"/>
      <c r="AN279" s="67"/>
      <c r="AO279" s="67"/>
      <c r="AP279" s="67"/>
      <c r="AQ279" s="68"/>
      <c r="AR279" s="6"/>
      <c r="AS279" s="6"/>
      <c r="AT279" s="6"/>
    </row>
    <row r="280">
      <c r="A280" s="64"/>
      <c r="B280" s="64"/>
      <c r="C280" s="65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</row>
  </sheetData>
  <mergeCells count="340">
    <mergeCell ref="B2:D2"/>
    <mergeCell ref="E2:H2"/>
    <mergeCell ref="B24:H24"/>
    <mergeCell ref="B25:H25"/>
    <mergeCell ref="B1:C1"/>
    <mergeCell ref="D1:E1"/>
    <mergeCell ref="AO1:AP2"/>
    <mergeCell ref="AQ1:AQ2"/>
    <mergeCell ref="AR1:AR2"/>
    <mergeCell ref="AS1:AS2"/>
    <mergeCell ref="AT1:AT2"/>
    <mergeCell ref="AO3:AP3"/>
    <mergeCell ref="AO4:AP4"/>
    <mergeCell ref="AO5:AP5"/>
    <mergeCell ref="AO6:AP6"/>
    <mergeCell ref="AO7:AP7"/>
    <mergeCell ref="AO8:AP8"/>
    <mergeCell ref="AO9:AP9"/>
    <mergeCell ref="AO10:AP10"/>
    <mergeCell ref="AO11:AP11"/>
    <mergeCell ref="AO12:AP12"/>
    <mergeCell ref="AO13:AP13"/>
    <mergeCell ref="AO14:AP14"/>
    <mergeCell ref="AO15:AP15"/>
    <mergeCell ref="AO16:AP16"/>
    <mergeCell ref="AQ24:AQ25"/>
    <mergeCell ref="AR24:AR25"/>
    <mergeCell ref="AS24:AS25"/>
    <mergeCell ref="AT24:AT25"/>
    <mergeCell ref="AO17:AP17"/>
    <mergeCell ref="AO18:AP18"/>
    <mergeCell ref="AO19:AP19"/>
    <mergeCell ref="AO20:AP20"/>
    <mergeCell ref="AO21:AP21"/>
    <mergeCell ref="AO22:AP22"/>
    <mergeCell ref="AO24:AP25"/>
    <mergeCell ref="AO26:AP26"/>
    <mergeCell ref="AO27:AP27"/>
    <mergeCell ref="AO28:AP28"/>
    <mergeCell ref="AO29:AP29"/>
    <mergeCell ref="AO30:AP30"/>
    <mergeCell ref="AO31:AP31"/>
    <mergeCell ref="AO32:AP32"/>
    <mergeCell ref="AO47:AP48"/>
    <mergeCell ref="AQ47:AQ48"/>
    <mergeCell ref="AR47:AR48"/>
    <mergeCell ref="AS47:AS48"/>
    <mergeCell ref="AT47:AT48"/>
    <mergeCell ref="AO33:AP33"/>
    <mergeCell ref="AO34:AP34"/>
    <mergeCell ref="AO35:AP35"/>
    <mergeCell ref="AO36:AP36"/>
    <mergeCell ref="AO37:AP37"/>
    <mergeCell ref="AO38:AP38"/>
    <mergeCell ref="AO39:AP39"/>
    <mergeCell ref="B47:H47"/>
    <mergeCell ref="B48:H48"/>
    <mergeCell ref="B70:H70"/>
    <mergeCell ref="B71:H71"/>
    <mergeCell ref="B93:H93"/>
    <mergeCell ref="B94:H94"/>
    <mergeCell ref="AO40:AP40"/>
    <mergeCell ref="AO41:AP41"/>
    <mergeCell ref="AO42:AP42"/>
    <mergeCell ref="AO43:AP43"/>
    <mergeCell ref="AO44:AP44"/>
    <mergeCell ref="AO45:AP45"/>
    <mergeCell ref="AO46:AP46"/>
    <mergeCell ref="AO49:AP49"/>
    <mergeCell ref="AO50:AP50"/>
    <mergeCell ref="AO51:AP51"/>
    <mergeCell ref="AO52:AP52"/>
    <mergeCell ref="AO53:AP53"/>
    <mergeCell ref="AO54:AP54"/>
    <mergeCell ref="AO55:AP55"/>
    <mergeCell ref="AO70:AP71"/>
    <mergeCell ref="AQ70:AQ71"/>
    <mergeCell ref="AR70:AR71"/>
    <mergeCell ref="AS70:AS71"/>
    <mergeCell ref="AT70:AT71"/>
    <mergeCell ref="AO72:AP72"/>
    <mergeCell ref="AO73:AP73"/>
    <mergeCell ref="AO56:AP56"/>
    <mergeCell ref="AO57:AP57"/>
    <mergeCell ref="AO58:AP58"/>
    <mergeCell ref="AO59:AP59"/>
    <mergeCell ref="AO60:AP60"/>
    <mergeCell ref="AO61:AP61"/>
    <mergeCell ref="AO62:AP62"/>
    <mergeCell ref="AO63:AP63"/>
    <mergeCell ref="AO64:AP64"/>
    <mergeCell ref="AO65:AP65"/>
    <mergeCell ref="AO66:AP66"/>
    <mergeCell ref="AO67:AP67"/>
    <mergeCell ref="AO68:AP68"/>
    <mergeCell ref="AO69:AP69"/>
    <mergeCell ref="AO74:AP74"/>
    <mergeCell ref="AO75:AP75"/>
    <mergeCell ref="AO76:AP76"/>
    <mergeCell ref="AO77:AP77"/>
    <mergeCell ref="AO78:AP78"/>
    <mergeCell ref="AO79:AP79"/>
    <mergeCell ref="AO80:AP80"/>
    <mergeCell ref="AO81:AP81"/>
    <mergeCell ref="AO82:AP82"/>
    <mergeCell ref="AO83:AP83"/>
    <mergeCell ref="AO84:AP84"/>
    <mergeCell ref="AO85:AP85"/>
    <mergeCell ref="AO86:AP86"/>
    <mergeCell ref="AO87:AP87"/>
    <mergeCell ref="AR93:AR94"/>
    <mergeCell ref="AS93:AS94"/>
    <mergeCell ref="AT93:AT94"/>
    <mergeCell ref="AO88:AP88"/>
    <mergeCell ref="AO89:AP89"/>
    <mergeCell ref="AO90:AP90"/>
    <mergeCell ref="AO91:AP91"/>
    <mergeCell ref="AO92:AP92"/>
    <mergeCell ref="AO93:AP94"/>
    <mergeCell ref="AQ93:AQ94"/>
    <mergeCell ref="AO95:AP95"/>
    <mergeCell ref="AO96:AP96"/>
    <mergeCell ref="AO97:AP97"/>
    <mergeCell ref="AO98:AP98"/>
    <mergeCell ref="AO99:AP99"/>
    <mergeCell ref="AO100:AP100"/>
    <mergeCell ref="AO101:AP101"/>
    <mergeCell ref="AO116:AP117"/>
    <mergeCell ref="AQ116:AQ117"/>
    <mergeCell ref="AR116:AR117"/>
    <mergeCell ref="AS116:AS117"/>
    <mergeCell ref="AT116:AT117"/>
    <mergeCell ref="AO102:AP102"/>
    <mergeCell ref="AO103:AP103"/>
    <mergeCell ref="AO104:AP104"/>
    <mergeCell ref="AO105:AP105"/>
    <mergeCell ref="AO106:AP106"/>
    <mergeCell ref="AO107:AP107"/>
    <mergeCell ref="AO108:AP108"/>
    <mergeCell ref="B116:H116"/>
    <mergeCell ref="B117:H117"/>
    <mergeCell ref="B139:H139"/>
    <mergeCell ref="B140:H140"/>
    <mergeCell ref="B162:H162"/>
    <mergeCell ref="B163:H163"/>
    <mergeCell ref="AO109:AP109"/>
    <mergeCell ref="AO110:AP110"/>
    <mergeCell ref="AO111:AP111"/>
    <mergeCell ref="AO112:AP112"/>
    <mergeCell ref="AO113:AP113"/>
    <mergeCell ref="AO114:AP114"/>
    <mergeCell ref="AO115:AP115"/>
    <mergeCell ref="AO118:AP118"/>
    <mergeCell ref="AO119:AP119"/>
    <mergeCell ref="AO120:AP120"/>
    <mergeCell ref="AO121:AP121"/>
    <mergeCell ref="AO122:AP122"/>
    <mergeCell ref="AO123:AP123"/>
    <mergeCell ref="AO124:AP124"/>
    <mergeCell ref="AO139:AP140"/>
    <mergeCell ref="AQ139:AQ140"/>
    <mergeCell ref="AR139:AR140"/>
    <mergeCell ref="AS139:AS140"/>
    <mergeCell ref="AT139:AT140"/>
    <mergeCell ref="AO141:AP141"/>
    <mergeCell ref="AO142:AP142"/>
    <mergeCell ref="AO125:AP125"/>
    <mergeCell ref="AO126:AP126"/>
    <mergeCell ref="AO127:AP127"/>
    <mergeCell ref="AO128:AP128"/>
    <mergeCell ref="AO129:AP129"/>
    <mergeCell ref="AO130:AP130"/>
    <mergeCell ref="AO131:AP131"/>
    <mergeCell ref="AO132:AP132"/>
    <mergeCell ref="AO133:AP133"/>
    <mergeCell ref="AO134:AP134"/>
    <mergeCell ref="AO135:AP135"/>
    <mergeCell ref="AO136:AP136"/>
    <mergeCell ref="AO137:AP137"/>
    <mergeCell ref="AO138:AP138"/>
    <mergeCell ref="AO143:AP143"/>
    <mergeCell ref="AO144:AP144"/>
    <mergeCell ref="AO145:AP145"/>
    <mergeCell ref="AO146:AP146"/>
    <mergeCell ref="AO147:AP147"/>
    <mergeCell ref="AO148:AP148"/>
    <mergeCell ref="AO149:AP149"/>
    <mergeCell ref="AO150:AP150"/>
    <mergeCell ref="AO151:AP151"/>
    <mergeCell ref="AO152:AP152"/>
    <mergeCell ref="AO153:AP153"/>
    <mergeCell ref="AO154:AP154"/>
    <mergeCell ref="AO155:AP155"/>
    <mergeCell ref="AO156:AP156"/>
    <mergeCell ref="AR162:AR163"/>
    <mergeCell ref="AS162:AS163"/>
    <mergeCell ref="AT162:AT163"/>
    <mergeCell ref="AO157:AP157"/>
    <mergeCell ref="AO158:AP158"/>
    <mergeCell ref="AO159:AP159"/>
    <mergeCell ref="AO160:AP160"/>
    <mergeCell ref="AO161:AP161"/>
    <mergeCell ref="AO162:AP163"/>
    <mergeCell ref="AQ162:AQ163"/>
    <mergeCell ref="AO164:AP164"/>
    <mergeCell ref="AO165:AP165"/>
    <mergeCell ref="AO166:AP166"/>
    <mergeCell ref="AO167:AP167"/>
    <mergeCell ref="AO168:AP168"/>
    <mergeCell ref="AO169:AP169"/>
    <mergeCell ref="AO170:AP170"/>
    <mergeCell ref="AO185:AP186"/>
    <mergeCell ref="AQ185:AQ186"/>
    <mergeCell ref="AR185:AR186"/>
    <mergeCell ref="AS185:AS186"/>
    <mergeCell ref="AT185:AT186"/>
    <mergeCell ref="AO171:AP171"/>
    <mergeCell ref="AO172:AP172"/>
    <mergeCell ref="AO173:AP173"/>
    <mergeCell ref="AO174:AP174"/>
    <mergeCell ref="AO175:AP175"/>
    <mergeCell ref="AO176:AP176"/>
    <mergeCell ref="AO177:AP177"/>
    <mergeCell ref="B185:H185"/>
    <mergeCell ref="B186:H186"/>
    <mergeCell ref="B208:H208"/>
    <mergeCell ref="B209:H209"/>
    <mergeCell ref="B231:H231"/>
    <mergeCell ref="B232:H232"/>
    <mergeCell ref="AO178:AP178"/>
    <mergeCell ref="AO179:AP179"/>
    <mergeCell ref="AO180:AP180"/>
    <mergeCell ref="AO181:AP181"/>
    <mergeCell ref="AO182:AP182"/>
    <mergeCell ref="AO183:AP183"/>
    <mergeCell ref="AO184:AP184"/>
    <mergeCell ref="AO187:AP187"/>
    <mergeCell ref="AO188:AP188"/>
    <mergeCell ref="AO189:AP189"/>
    <mergeCell ref="AO190:AP190"/>
    <mergeCell ref="AO191:AP191"/>
    <mergeCell ref="AO192:AP192"/>
    <mergeCell ref="AO193:AP193"/>
    <mergeCell ref="AO208:AP209"/>
    <mergeCell ref="AQ208:AQ209"/>
    <mergeCell ref="AR208:AR209"/>
    <mergeCell ref="AS208:AS209"/>
    <mergeCell ref="AT208:AT209"/>
    <mergeCell ref="AO210:AP210"/>
    <mergeCell ref="AO211:AP211"/>
    <mergeCell ref="AO254:AP255"/>
    <mergeCell ref="AQ254:AQ255"/>
    <mergeCell ref="AR254:AR255"/>
    <mergeCell ref="AS254:AS255"/>
    <mergeCell ref="AT254:AT255"/>
    <mergeCell ref="AO240:AP240"/>
    <mergeCell ref="AO241:AP241"/>
    <mergeCell ref="AO242:AP242"/>
    <mergeCell ref="AO243:AP243"/>
    <mergeCell ref="AO244:AP244"/>
    <mergeCell ref="AO245:AP245"/>
    <mergeCell ref="AO246:AP246"/>
    <mergeCell ref="B254:H254"/>
    <mergeCell ref="B255:H255"/>
    <mergeCell ref="A277:B278"/>
    <mergeCell ref="C278:H278"/>
    <mergeCell ref="AO247:AP247"/>
    <mergeCell ref="AO248:AP248"/>
    <mergeCell ref="AO249:AP249"/>
    <mergeCell ref="AO250:AP250"/>
    <mergeCell ref="AO251:AP251"/>
    <mergeCell ref="AO252:AP252"/>
    <mergeCell ref="AO253:AP253"/>
    <mergeCell ref="AO256:AP256"/>
    <mergeCell ref="AO257:AP257"/>
    <mergeCell ref="AO258:AP258"/>
    <mergeCell ref="AO259:AP259"/>
    <mergeCell ref="AO260:AP260"/>
    <mergeCell ref="AO261:AP261"/>
    <mergeCell ref="AO262:AP262"/>
    <mergeCell ref="AO270:AP270"/>
    <mergeCell ref="AO271:AP271"/>
    <mergeCell ref="AO272:AP272"/>
    <mergeCell ref="AO273:AP273"/>
    <mergeCell ref="AO274:AP274"/>
    <mergeCell ref="AO275:AP275"/>
    <mergeCell ref="AO276:AP276"/>
    <mergeCell ref="J278:AQ279"/>
    <mergeCell ref="AO263:AP263"/>
    <mergeCell ref="AO264:AP264"/>
    <mergeCell ref="AO265:AP265"/>
    <mergeCell ref="AO266:AP266"/>
    <mergeCell ref="AO267:AP267"/>
    <mergeCell ref="AO268:AP268"/>
    <mergeCell ref="AO269:AP269"/>
    <mergeCell ref="AO194:AP194"/>
    <mergeCell ref="AO195:AP195"/>
    <mergeCell ref="AO196:AP196"/>
    <mergeCell ref="AO197:AP197"/>
    <mergeCell ref="AO198:AP198"/>
    <mergeCell ref="AO199:AP199"/>
    <mergeCell ref="AO200:AP200"/>
    <mergeCell ref="AO201:AP201"/>
    <mergeCell ref="AO202:AP202"/>
    <mergeCell ref="AO203:AP203"/>
    <mergeCell ref="AO204:AP204"/>
    <mergeCell ref="AO205:AP205"/>
    <mergeCell ref="AO206:AP206"/>
    <mergeCell ref="AO207:AP207"/>
    <mergeCell ref="AO212:AP212"/>
    <mergeCell ref="AO213:AP213"/>
    <mergeCell ref="AO214:AP214"/>
    <mergeCell ref="AO215:AP215"/>
    <mergeCell ref="AO216:AP216"/>
    <mergeCell ref="AO217:AP217"/>
    <mergeCell ref="AO218:AP218"/>
    <mergeCell ref="AO219:AP219"/>
    <mergeCell ref="AO220:AP220"/>
    <mergeCell ref="AO221:AP221"/>
    <mergeCell ref="AO222:AP222"/>
    <mergeCell ref="AO223:AP223"/>
    <mergeCell ref="AO224:AP224"/>
    <mergeCell ref="AO225:AP225"/>
    <mergeCell ref="AR231:AR232"/>
    <mergeCell ref="AS231:AS232"/>
    <mergeCell ref="AT231:AT232"/>
    <mergeCell ref="AO226:AP226"/>
    <mergeCell ref="AO227:AP227"/>
    <mergeCell ref="AO228:AP228"/>
    <mergeCell ref="AO229:AP229"/>
    <mergeCell ref="AO230:AP230"/>
    <mergeCell ref="AO231:AP232"/>
    <mergeCell ref="AQ231:AQ232"/>
    <mergeCell ref="AO233:AP233"/>
    <mergeCell ref="AO234:AP234"/>
    <mergeCell ref="AO235:AP235"/>
    <mergeCell ref="AO236:AP236"/>
    <mergeCell ref="AO237:AP237"/>
    <mergeCell ref="AO238:AP238"/>
    <mergeCell ref="AO239:AP239"/>
  </mergeCells>
  <conditionalFormatting sqref="J3:AN23 AO23:AT23 J26:J46 K46:AN46 J51:J69 K69:AN69 J92:AN92 J115:AN115 J138:AN138 J161:AN161 J184:AN184 J207:AN207 J230:AN230 J253:AN253 J276:AN276">
    <cfRule type="cellIs" dxfId="0" priority="1" operator="equal">
      <formula>"TRUE"</formula>
    </cfRule>
  </conditionalFormatting>
  <conditionalFormatting sqref="J26:AL46 AM46:AN46 J69:AN69 J92:AN92 J115:AN115 J138:AM138 J161:AN161 J184:AN184 J207:AM207 J230:AN230 J253:AM253 J276:AK276">
    <cfRule type="cellIs" dxfId="0" priority="2" operator="equal">
      <formula>"TRUE"</formula>
    </cfRule>
  </conditionalFormatting>
  <conditionalFormatting sqref="J49:AN68">
    <cfRule type="cellIs" dxfId="0" priority="3" operator="equal">
      <formula>"TRUE"</formula>
    </cfRule>
  </conditionalFormatting>
  <conditionalFormatting sqref="J72:AN91">
    <cfRule type="cellIs" dxfId="0" priority="4" operator="equal">
      <formula>"TRUE"</formula>
    </cfRule>
  </conditionalFormatting>
  <conditionalFormatting sqref="J95:AN114">
    <cfRule type="cellIs" dxfId="0" priority="5" operator="equal">
      <formula>"TRUE"</formula>
    </cfRule>
  </conditionalFormatting>
  <conditionalFormatting sqref="J118:AM137">
    <cfRule type="cellIs" dxfId="0" priority="6" operator="equal">
      <formula>"TRUE"</formula>
    </cfRule>
  </conditionalFormatting>
  <conditionalFormatting sqref="J141:AN160">
    <cfRule type="cellIs" dxfId="0" priority="7" operator="equal">
      <formula>"TRUE"</formula>
    </cfRule>
  </conditionalFormatting>
  <conditionalFormatting sqref="J141:AG160 J164:AN183">
    <cfRule type="cellIs" dxfId="0" priority="8" operator="equal">
      <formula>"TRUE"</formula>
    </cfRule>
  </conditionalFormatting>
  <conditionalFormatting sqref="J187:AM206">
    <cfRule type="cellIs" dxfId="0" priority="9" operator="equal">
      <formula>"TRUE"</formula>
    </cfRule>
  </conditionalFormatting>
  <conditionalFormatting sqref="J210:AN229">
    <cfRule type="cellIs" dxfId="0" priority="10" operator="equal">
      <formula>"TRUE"</formula>
    </cfRule>
  </conditionalFormatting>
  <conditionalFormatting sqref="J233:AM252">
    <cfRule type="cellIs" dxfId="0" priority="11" operator="equal">
      <formula>"TRUE"</formula>
    </cfRule>
  </conditionalFormatting>
  <conditionalFormatting sqref="J256:AN275">
    <cfRule type="cellIs" dxfId="0" priority="12" operator="equal">
      <formula>"TRUE"</formula>
    </cfRule>
  </conditionalFormatting>
  <conditionalFormatting sqref="AT3:AT22">
    <cfRule type="cellIs" dxfId="1" priority="13" operator="greaterThanOrEqual">
      <formula>"100%"</formula>
    </cfRule>
  </conditionalFormatting>
  <conditionalFormatting sqref="AT26:AT45 AT49:AT68 AT72:AT91 AT95:AT114 AT118:AT137 AT141:AT160 AT164:AT183 AT187:AT206 AT210:AT229 AT233:AT252 AT256:AT275">
    <cfRule type="cellIs" dxfId="2" priority="14" operator="greaterThanOrEqual">
      <formula>"100%"</formula>
    </cfRule>
  </conditionalFormatting>
  <conditionalFormatting sqref="B4:H262">
    <cfRule type="timePeriod" dxfId="3" priority="15" timePeriod="today"/>
  </conditionalFormatting>
  <conditionalFormatting sqref="J1:AN1">
    <cfRule type="timePeriod" dxfId="4" priority="16" timePeriod="today"/>
  </conditionalFormatting>
  <conditionalFormatting sqref="J24:AM24">
    <cfRule type="timePeriod" dxfId="5" priority="17" timePeriod="today"/>
  </conditionalFormatting>
  <conditionalFormatting sqref="J24 J47:AN47 J70 J93 J116 J139 J162 J185 J208 J231 J254">
    <cfRule type="timePeriod" dxfId="4" priority="18" timePeriod="today"/>
  </conditionalFormatting>
  <conditionalFormatting sqref="J24 J47 J70:AN70 J93 J116 J139 J162 J185 J208 J231 J254">
    <cfRule type="timePeriod" dxfId="4" priority="19" timePeriod="today"/>
  </conditionalFormatting>
  <conditionalFormatting sqref="J93:AN93">
    <cfRule type="timePeriod" dxfId="4" priority="20" timePeriod="today"/>
  </conditionalFormatting>
  <conditionalFormatting sqref="J116:AN116">
    <cfRule type="timePeriod" dxfId="4" priority="21" timePeriod="today"/>
  </conditionalFormatting>
  <conditionalFormatting sqref="J139:AN139">
    <cfRule type="timePeriod" dxfId="4" priority="22" timePeriod="today"/>
  </conditionalFormatting>
  <conditionalFormatting sqref="J162:AN162">
    <cfRule type="timePeriod" dxfId="4" priority="23" timePeriod="today"/>
  </conditionalFormatting>
  <conditionalFormatting sqref="J185:AM185">
    <cfRule type="timePeriod" dxfId="4" priority="24" timePeriod="today"/>
  </conditionalFormatting>
  <conditionalFormatting sqref="J208:AN208">
    <cfRule type="timePeriod" dxfId="4" priority="25" timePeriod="today"/>
  </conditionalFormatting>
  <conditionalFormatting sqref="J231:AM231">
    <cfRule type="timePeriod" dxfId="4" priority="26" timePeriod="today"/>
  </conditionalFormatting>
  <conditionalFormatting sqref="J24:AM24 J47 J70 J93 J116 J139 J162 J185 J208 J231 J254:AN254">
    <cfRule type="timePeriod" dxfId="4" priority="27" timePeriod="today"/>
  </conditionalFormatting>
  <conditionalFormatting sqref="B2:D2">
    <cfRule type="notContainsBlanks" dxfId="6" priority="28">
      <formula>LEN(TRIM(B2))&gt;0</formula>
    </cfRule>
  </conditionalFormatting>
  <dataValidations>
    <dataValidation type="list" allowBlank="1" showErrorMessage="1" sqref="E2">
      <formula1>"Sunday,Monday"</formula1>
    </dataValidation>
  </dataValidations>
  <hyperlinks>
    <hyperlink r:id="rId1" ref="C278"/>
  </hyperlinks>
  <drawing r:id="rId2"/>
</worksheet>
</file>