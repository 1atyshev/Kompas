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Habits Tracker 2026" sheetId="2" state="visible" r:id="rId2"/>
    <sheet name="_meta" sheetId="3" state="hidden" r:id="rId3"/>
    <sheet name="raw_trackers" sheetId="4" state="visible" r:id="rId4"/>
    <sheet name="raw_tracker_goals" sheetId="5" state="visible" r:id="rId5"/>
    <sheet name="raw_tracker_logs" sheetId="6" state="hidden" r:id="rId6"/>
    <sheet name="raw_missions" sheetId="7" state="hidden" r:id="rId7"/>
    <sheet name="raw_journal" sheetId="8" state="hidden" r:id="rId8"/>
    <sheet name="summary_daily" sheetId="9" state="hidden" r:id="rId9"/>
    <sheet name="summary_weekly" sheetId="10" state="hidden" r:id="rId10"/>
    <sheet name="summary_monthly" sheetId="11" state="hidden" r:id="rId11"/>
    <sheet name="summary_yearly" sheetId="12" state="hidden" r:id="rId12"/>
    <sheet name="dashboard" sheetId="13" state="hidden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d"/>
    <numFmt numFmtId="166" formatCode="mmmm"/>
  </numFmts>
  <fonts count="24">
    <font>
      <name val="Verdana"/>
      <color rgb="FF000000"/>
      <sz val="10"/>
      <scheme val="minor"/>
    </font>
    <font>
      <name val="Verdana"/>
      <b val="1"/>
      <color theme="1"/>
      <scheme val="minor"/>
    </font>
    <font>
      <name val="Century Gothic"/>
      <b val="1"/>
      <color theme="1"/>
      <sz val="9"/>
    </font>
    <font>
      <name val="Century Gothic"/>
      <color theme="1"/>
      <sz val="9"/>
    </font>
    <font>
      <name val="Verdana"/>
      <color theme="1"/>
      <scheme val="minor"/>
    </font>
    <font>
      <name val="Century Gothic"/>
      <color theme="1"/>
    </font>
    <font>
      <name val="Century Gothic"/>
      <b val="1"/>
      <color theme="1"/>
      <sz val="8"/>
    </font>
    <font>
      <name val="Century Gothic"/>
      <color theme="1"/>
      <sz val="8"/>
    </font>
    <font>
      <name val="Century Gothic"/>
      <b val="1"/>
      <color rgb="FF222A35"/>
      <sz val="9"/>
    </font>
    <font>
      <name val="Century Gothic"/>
      <b val="1"/>
      <color rgb="FF222A35"/>
      <sz val="8"/>
    </font>
    <font>
      <name val="Century Gothic"/>
      <color rgb="FF454545"/>
      <sz val="9"/>
    </font>
    <font>
      <name val="&quot;Google Sans Mono&quot;"/>
      <color rgb="FF666666"/>
      <sz val="9"/>
    </font>
    <font>
      <name val="Century Gothic"/>
      <color rgb="FF666666"/>
      <sz val="9"/>
    </font>
    <font>
      <name val="Century Gothic"/>
      <color rgb="FF202124"/>
      <sz val="9"/>
    </font>
    <font>
      <name val="Century Gothic"/>
      <color rgb="FF000000"/>
      <sz val="9"/>
    </font>
    <font>
      <name val="Century Gothic"/>
      <color rgb="FF999999"/>
      <sz val="9"/>
    </font>
    <font>
      <name val="Verdana"/>
      <color theme="1"/>
    </font>
    <font>
      <name val="&quot;Century Gothic&quot;"/>
      <color theme="1"/>
      <sz val="24"/>
    </font>
    <font>
      <name val="&quot;Century Gothic&quot;"/>
      <color theme="1"/>
      <sz val="9"/>
    </font>
    <font>
      <name val="&quot;Century Gothic&quot;"/>
      <color rgb="FF0000FF"/>
      <sz val="9"/>
      <u val="single"/>
    </font>
    <font/>
    <font>
      <name val="Century Gothic"/>
      <color theme="1"/>
      <sz val="24"/>
    </font>
    <font>
      <name val="Century Gothic"/>
      <color rgb="FF1155CC"/>
      <sz val="9"/>
      <u val="single"/>
    </font>
    <font>
      <b val="1"/>
    </font>
  </fonts>
  <fills count="12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BCE0CF"/>
        <bgColor rgb="FFBCE0CF"/>
      </patternFill>
    </fill>
    <fill>
      <patternFill patternType="solid">
        <fgColor rgb="FFF3F3F3"/>
        <bgColor rgb="FFF3F3F3"/>
      </patternFill>
    </fill>
    <fill>
      <patternFill patternType="solid">
        <fgColor rgb="FF1A9988"/>
        <bgColor rgb="FF1A9988"/>
      </patternFill>
    </fill>
    <fill>
      <patternFill patternType="solid">
        <fgColor rgb="00F2F2F2"/>
        <bgColor rgb="00F2F2F2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right"/>
    </xf>
    <xf numFmtId="165" fontId="7" fillId="5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9" fontId="10" fillId="7" borderId="0" applyAlignment="1" pivotButton="0" quotePrefix="0" xfId="0">
      <alignment horizontal="center"/>
    </xf>
    <xf numFmtId="0" fontId="3" fillId="9" borderId="6" applyAlignment="1" pivotButton="0" quotePrefix="0" xfId="0">
      <alignment horizontal="center" vertical="bottom"/>
    </xf>
    <xf numFmtId="164" fontId="11" fillId="0" borderId="0" applyAlignment="1" pivotButton="0" quotePrefix="0" xfId="0">
      <alignment horizontal="right"/>
    </xf>
    <xf numFmtId="164" fontId="12" fillId="4" borderId="0" applyAlignment="1" pivotButton="0" quotePrefix="0" xfId="0">
      <alignment horizontal="right" vertical="bottom"/>
    </xf>
    <xf numFmtId="0" fontId="13" fillId="9" borderId="6" applyAlignment="1" pivotButton="0" quotePrefix="0" xfId="0">
      <alignment horizontal="center" vertical="bottom"/>
    </xf>
    <xf numFmtId="0" fontId="3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right"/>
    </xf>
    <xf numFmtId="165" fontId="7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9" borderId="0" applyAlignment="1" pivotButton="0" quotePrefix="0" xfId="0">
      <alignment horizontal="center" vertical="bottom"/>
    </xf>
    <xf numFmtId="164" fontId="14" fillId="4" borderId="0" applyAlignment="1" pivotButton="0" quotePrefix="0" xfId="0">
      <alignment horizontal="center" vertical="bottom"/>
    </xf>
    <xf numFmtId="164" fontId="15" fillId="4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/>
    </xf>
    <xf numFmtId="164" fontId="3" fillId="4" borderId="0" applyAlignment="1" pivotButton="0" quotePrefix="0" xfId="0">
      <alignment vertical="bottom"/>
    </xf>
    <xf numFmtId="0" fontId="3" fillId="0" borderId="0" applyAlignment="1" pivotButton="0" quotePrefix="0" xfId="0">
      <alignment horizontal="right"/>
    </xf>
    <xf numFmtId="0" fontId="9" fillId="6" borderId="10" applyAlignment="1" pivotButton="0" quotePrefix="0" xfId="0">
      <alignment horizontal="center" vertical="bottom"/>
    </xf>
    <xf numFmtId="164" fontId="3" fillId="4" borderId="0" applyAlignment="1" pivotButton="0" quotePrefix="0" xfId="0">
      <alignment horizontal="center" vertical="bottom"/>
    </xf>
    <xf numFmtId="0" fontId="3" fillId="2" borderId="0" applyAlignment="1" pivotButton="0" quotePrefix="0" xfId="0">
      <alignment horizontal="center"/>
    </xf>
    <xf numFmtId="0" fontId="2" fillId="10" borderId="0" applyAlignment="1" pivotButton="0" quotePrefix="0" xfId="0">
      <alignment horizontal="center" vertical="bottom"/>
    </xf>
    <xf numFmtId="0" fontId="3" fillId="10" borderId="0" applyAlignment="1" pivotButton="0" quotePrefix="0" xfId="0">
      <alignment horizontal="right" vertical="bottom"/>
    </xf>
    <xf numFmtId="0" fontId="16" fillId="0" borderId="0" applyAlignment="1" pivotButton="0" quotePrefix="0" xfId="0">
      <alignment vertical="bottom"/>
    </xf>
    <xf numFmtId="0" fontId="9" fillId="6" borderId="10" applyAlignment="1" pivotButton="0" quotePrefix="0" xfId="0">
      <alignment horizontal="center" vertical="bottom"/>
    </xf>
    <xf numFmtId="0" fontId="3" fillId="10" borderId="0" applyAlignment="1" pivotButton="0" quotePrefix="0" xfId="0">
      <alignment horizontal="right" vertical="bottom"/>
    </xf>
    <xf numFmtId="0" fontId="3" fillId="10" borderId="0" applyAlignment="1" pivotButton="0" quotePrefix="0" xfId="0">
      <alignment horizontal="center" vertical="bottom"/>
    </xf>
    <xf numFmtId="0" fontId="2" fillId="1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6" fillId="0" borderId="0" pivotButton="0" quotePrefix="0" xfId="0"/>
    <xf numFmtId="0" fontId="19" fillId="0" borderId="0" applyAlignment="1" pivotButton="0" quotePrefix="0" xfId="0">
      <alignment vertical="bottom"/>
    </xf>
    <xf numFmtId="0" fontId="3" fillId="0" borderId="2" applyAlignment="1" pivotButton="0" quotePrefix="0" xfId="0">
      <alignment horizontal="left"/>
    </xf>
    <xf numFmtId="0" fontId="20" fillId="0" borderId="11" pivotButton="0" quotePrefix="0" xfId="0"/>
    <xf numFmtId="0" fontId="20" fillId="0" borderId="3" pivotButton="0" quotePrefix="0" xfId="0"/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/>
    </xf>
    <xf numFmtId="0" fontId="20" fillId="0" borderId="7" pivotButton="0" quotePrefix="0" xfId="0"/>
    <xf numFmtId="0" fontId="20" fillId="0" borderId="10" pivotButton="0" quotePrefix="0" xfId="0"/>
    <xf numFmtId="0" fontId="20" fillId="0" borderId="8" pivotButton="0" quotePrefix="0" xfId="0"/>
    <xf numFmtId="0" fontId="0" fillId="0" borderId="0" pivotButton="0" quotePrefix="0" xfId="0"/>
    <xf numFmtId="166" fontId="3" fillId="2" borderId="0" applyAlignment="1" pivotButton="0" quotePrefix="0" xfId="0">
      <alignment horizontal="right"/>
    </xf>
    <xf numFmtId="166" fontId="3" fillId="10" borderId="0" applyAlignment="1" pivotButton="0" quotePrefix="0" xfId="0">
      <alignment horizontal="right" vertical="bottom"/>
    </xf>
    <xf numFmtId="0" fontId="3" fillId="0" borderId="12" applyAlignment="1" pivotButton="0" quotePrefix="0" xfId="0">
      <alignment horizontal="left"/>
    </xf>
    <xf numFmtId="0" fontId="0" fillId="0" borderId="11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8" pivotButton="0" quotePrefix="0" xfId="0"/>
    <xf numFmtId="0" fontId="23" fillId="11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color rgb="FF57BB8A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51C08A"/>
          <bgColor rgb="FF51C08A"/>
        </patternFill>
      </fill>
      <border/>
    </dxf>
    <dxf>
      <font/>
      <fill>
        <patternFill patternType="solid">
          <fgColor rgb="FF51C08A"/>
          <bgColor rgb="FF51C08A"/>
        </patternFill>
      </fill>
      <border/>
    </dxf>
    <dxf>
      <font>
        <color rgb="FFFFFFFF"/>
      </font>
      <fill>
        <patternFill patternType="solid">
          <fgColor rgb="FFEB5600"/>
          <bgColor rgb="FFEB5600"/>
        </patternFill>
      </fill>
      <border/>
    </dxf>
    <dxf>
      <font>
        <color rgb="FF000000"/>
      </font>
      <fill>
        <patternFill patternType="solid">
          <fgColor theme="7"/>
          <bgColor theme="7"/>
        </patternFill>
      </fill>
      <border/>
    </dxf>
    <dxf>
      <font>
        <color rgb="FF1A1A1A"/>
      </font>
      <fill>
        <patternFill patternType="solid">
          <fgColor rgb="FFEB5600"/>
          <bgColor rgb="FFEB56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medium.com/google-sheets-geeks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2"/>
  <sheetViews>
    <sheetView workbookViewId="0">
      <selection activeCell="A1" sqref="A1"/>
    </sheetView>
  </sheetViews>
  <sheetFormatPr baseColWidth="8" defaultColWidth="11.22" defaultRowHeight="15.75" customHeight="1"/>
  <cols>
    <col width="3.67" customWidth="1" style="69" min="1" max="1"/>
    <col width="27.33" customWidth="1" style="69" min="2" max="2"/>
    <col width="5.44" customWidth="1" style="69" min="3" max="3"/>
    <col width="16.33" customWidth="1" style="69" min="4" max="4"/>
    <col width="6.56" customWidth="1" style="69" min="6" max="6"/>
    <col width="46.67" customWidth="1" style="69" min="7" max="7"/>
  </cols>
  <sheetData>
    <row r="1"/>
    <row r="2">
      <c r="B2" s="1" t="inlineStr">
        <is>
          <t>Write out your own habits here:</t>
        </is>
      </c>
      <c r="D2" s="1" t="inlineStr">
        <is>
          <t>Choose emojis</t>
        </is>
      </c>
      <c r="E2" s="1" t="inlineStr">
        <is>
          <t>⤵️⤵️⤵️</t>
        </is>
      </c>
      <c r="G2" s="2" t="inlineStr">
        <is>
          <t>Emoji keyboard shortcut:</t>
        </is>
      </c>
    </row>
    <row r="3">
      <c r="B3" s="3">
        <f>IFERROR(FILTER(raw_trackers!B2:B, raw_trackers!B2:B&lt;&gt;""), "")</f>
        <v/>
      </c>
      <c r="D3" s="4" t="inlineStr">
        <is>
          <t>0 habits done</t>
        </is>
      </c>
      <c r="E3" s="5" t="n"/>
      <c r="G3" s="6" t="inlineStr">
        <is>
          <t xml:space="preserve">🪟: Press Windows + ; (semi-colon) or Windows + . (period) </t>
        </is>
      </c>
    </row>
    <row r="4">
      <c r="B4" s="7" t="n"/>
      <c r="D4" s="8" t="inlineStr">
        <is>
          <t>1 habit done</t>
        </is>
      </c>
      <c r="E4" s="9" t="inlineStr">
        <is>
          <t>😶</t>
        </is>
      </c>
      <c r="G4" s="6" t="inlineStr">
        <is>
          <t>🍏: Control + Command + Spacebar</t>
        </is>
      </c>
    </row>
    <row r="5">
      <c r="B5" s="7" t="n"/>
      <c r="D5" s="8" t="inlineStr">
        <is>
          <t>2 habits done</t>
        </is>
      </c>
      <c r="E5" s="9" t="inlineStr">
        <is>
          <t>🙂</t>
        </is>
      </c>
    </row>
    <row r="6">
      <c r="B6" s="7" t="n"/>
      <c r="D6" s="8" t="inlineStr">
        <is>
          <t>3 habits done</t>
        </is>
      </c>
      <c r="E6" s="9" t="inlineStr">
        <is>
          <t>😊</t>
        </is>
      </c>
    </row>
    <row r="7">
      <c r="B7" s="7" t="n"/>
      <c r="D7" s="8" t="inlineStr">
        <is>
          <t>4 habits done</t>
        </is>
      </c>
      <c r="E7" s="9" t="inlineStr">
        <is>
          <t>😍</t>
        </is>
      </c>
    </row>
    <row r="8">
      <c r="B8" s="7" t="n"/>
      <c r="D8" s="8" t="inlineStr">
        <is>
          <t>5 habits done</t>
        </is>
      </c>
      <c r="E8" s="9" t="inlineStr">
        <is>
          <t>🚀</t>
        </is>
      </c>
    </row>
    <row r="9">
      <c r="B9" s="7" t="n"/>
      <c r="D9" s="10" t="inlineStr">
        <is>
          <t>6 habits or more</t>
        </is>
      </c>
      <c r="E9" s="11" t="inlineStr">
        <is>
          <t>🔥</t>
        </is>
      </c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T280"/>
  <sheetViews>
    <sheetView showGridLines="0" workbookViewId="0">
      <selection activeCell="A1" sqref="A1"/>
    </sheetView>
  </sheetViews>
  <sheetFormatPr baseColWidth="8" defaultColWidth="11.22" defaultRowHeight="15.75" customHeight="1"/>
  <cols>
    <col width="3.89" customWidth="1" style="69" min="1" max="1"/>
    <col width="2.89" customWidth="1" style="69" min="2" max="2"/>
    <col width="2.67" customWidth="1" style="69" min="3" max="3"/>
    <col width="2.78" customWidth="1" style="69" min="4" max="4"/>
    <col width="2.67" customWidth="1" style="69" min="5" max="5"/>
    <col width="2.89" customWidth="1" style="69" min="6" max="6"/>
    <col width="2.67" customWidth="1" style="69" min="7" max="7"/>
    <col width="2.89" customWidth="1" style="69" min="8" max="8"/>
    <col width="8.220000000000001" customWidth="1" style="69" min="9" max="9"/>
    <col width="2.67" customWidth="1" style="69" min="10" max="40"/>
    <col width="2.89" customWidth="1" style="69" min="41" max="41"/>
    <col width="2.33" customWidth="1" style="69" min="42" max="42"/>
    <col width="5.44" customWidth="1" style="69" min="43" max="44"/>
    <col width="4.33" customWidth="1" style="69" min="45" max="45"/>
    <col width="5.67" customWidth="1" style="69" min="46" max="46"/>
  </cols>
  <sheetData>
    <row r="1">
      <c r="A1" s="13" t="inlineStr">
        <is>
          <t> </t>
        </is>
      </c>
      <c r="B1" s="13" t="inlineStr">
        <is>
          <t xml:space="preserve">Year: </t>
        </is>
      </c>
      <c r="D1" s="14" t="n">
        <v>2026</v>
      </c>
      <c r="F1" s="13" t="n"/>
      <c r="G1" s="13" t="n"/>
      <c r="H1" s="13" t="n"/>
      <c r="I1" s="70">
        <f>DATE($D$1,1,1)</f>
        <v/>
      </c>
      <c r="J1" s="16">
        <f>I1</f>
        <v/>
      </c>
      <c r="K1" s="16">
        <f>J1+1</f>
        <v/>
      </c>
      <c r="L1" s="16">
        <f>K1+1</f>
        <v/>
      </c>
      <c r="M1" s="16">
        <f>L1+1</f>
        <v/>
      </c>
      <c r="N1" s="16">
        <f>M1+1</f>
        <v/>
      </c>
      <c r="O1" s="16">
        <f>N1+1</f>
        <v/>
      </c>
      <c r="P1" s="16">
        <f>O1+1</f>
        <v/>
      </c>
      <c r="Q1" s="16">
        <f>P1+1</f>
        <v/>
      </c>
      <c r="R1" s="16">
        <f>Q1+1</f>
        <v/>
      </c>
      <c r="S1" s="16">
        <f>R1+1</f>
        <v/>
      </c>
      <c r="T1" s="16">
        <f>S1+1</f>
        <v/>
      </c>
      <c r="U1" s="16">
        <f>T1+1</f>
        <v/>
      </c>
      <c r="V1" s="16">
        <f>U1+1</f>
        <v/>
      </c>
      <c r="W1" s="16">
        <f>V1+1</f>
        <v/>
      </c>
      <c r="X1" s="16">
        <f>W1+1</f>
        <v/>
      </c>
      <c r="Y1" s="16">
        <f>X1+1</f>
        <v/>
      </c>
      <c r="Z1" s="16">
        <f>Y1+1</f>
        <v/>
      </c>
      <c r="AA1" s="16">
        <f>Z1+1</f>
        <v/>
      </c>
      <c r="AB1" s="16">
        <f>AA1+1</f>
        <v/>
      </c>
      <c r="AC1" s="16">
        <f>AB1+1</f>
        <v/>
      </c>
      <c r="AD1" s="16">
        <f>AC1+1</f>
        <v/>
      </c>
      <c r="AE1" s="16">
        <f>AD1+1</f>
        <v/>
      </c>
      <c r="AF1" s="16">
        <f>AE1+1</f>
        <v/>
      </c>
      <c r="AG1" s="16">
        <f>AF1+1</f>
        <v/>
      </c>
      <c r="AH1" s="16">
        <f>AG1+1</f>
        <v/>
      </c>
      <c r="AI1" s="16">
        <f>AH1+1</f>
        <v/>
      </c>
      <c r="AJ1" s="16">
        <f>AI1+1</f>
        <v/>
      </c>
      <c r="AK1" s="16">
        <f>AJ1+1</f>
        <v/>
      </c>
      <c r="AL1" s="16">
        <f>AK1+1</f>
        <v/>
      </c>
      <c r="AM1" s="16">
        <f>AL1+1</f>
        <v/>
      </c>
      <c r="AN1" s="16">
        <f>AM1+1</f>
        <v/>
      </c>
      <c r="AO1" s="17" t="inlineStr">
        <is>
          <t>TOTAL</t>
        </is>
      </c>
      <c r="AQ1" s="18" t="inlineStr">
        <is>
          <t>current streak 🔥</t>
        </is>
      </c>
      <c r="AR1" s="18" t="inlineStr">
        <is>
          <t>longest streak😼</t>
        </is>
      </c>
      <c r="AS1" s="18" t="inlineStr">
        <is>
          <t>Goal🔢</t>
        </is>
      </c>
      <c r="AT1" s="18" t="inlineStr">
        <is>
          <t>Progress
📈</t>
        </is>
      </c>
    </row>
    <row r="2" ht="14.25" customHeight="1" s="69">
      <c r="A2" s="19" t="n"/>
      <c r="B2" s="19" t="inlineStr">
        <is>
          <t>Week start:</t>
        </is>
      </c>
      <c r="E2" s="19" t="inlineStr">
        <is>
          <t>Monday</t>
        </is>
      </c>
      <c r="I2" s="20">
        <f>D1</f>
        <v/>
      </c>
      <c r="J2" s="36">
        <f>J1</f>
        <v/>
      </c>
      <c r="K2" s="36">
        <f>K1</f>
        <v/>
      </c>
      <c r="L2" s="36">
        <f>L1</f>
        <v/>
      </c>
      <c r="M2" s="36">
        <f>M1</f>
        <v/>
      </c>
      <c r="N2" s="36">
        <f>N1</f>
        <v/>
      </c>
      <c r="O2" s="36">
        <f>O1</f>
        <v/>
      </c>
      <c r="P2" s="36">
        <f>P1</f>
        <v/>
      </c>
      <c r="Q2" s="36">
        <f>Q1</f>
        <v/>
      </c>
      <c r="R2" s="36">
        <f>R1</f>
        <v/>
      </c>
      <c r="S2" s="36">
        <f>S1</f>
        <v/>
      </c>
      <c r="T2" s="36">
        <f>T1</f>
        <v/>
      </c>
      <c r="U2" s="36">
        <f>U1</f>
        <v/>
      </c>
      <c r="V2" s="36">
        <f>V1</f>
        <v/>
      </c>
      <c r="W2" s="36">
        <f>W1</f>
        <v/>
      </c>
      <c r="X2" s="36">
        <f>X1</f>
        <v/>
      </c>
      <c r="Y2" s="36">
        <f>Y1</f>
        <v/>
      </c>
      <c r="Z2" s="36">
        <f>Z1</f>
        <v/>
      </c>
      <c r="AA2" s="36">
        <f>AA1</f>
        <v/>
      </c>
      <c r="AB2" s="36">
        <f>AB1</f>
        <v/>
      </c>
      <c r="AC2" s="36">
        <f>AC1</f>
        <v/>
      </c>
      <c r="AD2" s="36">
        <f>AD1</f>
        <v/>
      </c>
      <c r="AE2" s="36">
        <f>AE1</f>
        <v/>
      </c>
      <c r="AF2" s="36">
        <f>AF1</f>
        <v/>
      </c>
      <c r="AG2" s="36">
        <f>AG1</f>
        <v/>
      </c>
      <c r="AH2" s="36">
        <f>AH1</f>
        <v/>
      </c>
      <c r="AI2" s="36">
        <f>AI1</f>
        <v/>
      </c>
      <c r="AJ2" s="36">
        <f>AJ1</f>
        <v/>
      </c>
      <c r="AK2" s="36">
        <f>AK1</f>
        <v/>
      </c>
      <c r="AL2" s="36">
        <f>AL1</f>
        <v/>
      </c>
      <c r="AM2" s="36">
        <f>AM1</f>
        <v/>
      </c>
      <c r="AN2" s="36">
        <f>AN1</f>
        <v/>
      </c>
    </row>
    <row r="3">
      <c r="A3" s="22" t="n"/>
      <c r="B3" s="23" t="inlineStr">
        <is>
          <t>Пн</t>
        </is>
      </c>
      <c r="C3" s="23" t="inlineStr">
        <is>
          <t>Вт</t>
        </is>
      </c>
      <c r="D3" s="23" t="inlineStr">
        <is>
          <t>Ср</t>
        </is>
      </c>
      <c r="E3" s="23" t="inlineStr">
        <is>
          <t>Чт</t>
        </is>
      </c>
      <c r="F3" s="23" t="inlineStr">
        <is>
          <t>Пт</t>
        </is>
      </c>
      <c r="G3" s="23" t="inlineStr">
        <is>
          <t>Сб</t>
        </is>
      </c>
      <c r="H3" s="23" t="inlineStr">
        <is>
          <t>Вс</t>
        </is>
      </c>
      <c r="I3" s="6">
        <f>ARRAYFORMULA(Setup!B3:B22)</f>
        <v/>
      </c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25">
        <f>SUM(J3:AN3)</f>
        <v/>
      </c>
      <c r="AQ3" s="25" t="n"/>
      <c r="AR3" s="25" t="n"/>
      <c r="AS3" s="26" t="n"/>
      <c r="AT3" s="27">
        <f>IF(AS3&gt;0, AO3/AS3, "")</f>
        <v/>
      </c>
    </row>
    <row r="4">
      <c r="A4" s="28">
        <f>WEEKNUM(B4,2)</f>
        <v/>
      </c>
      <c r="B4" s="29">
        <f>IFERROR(DATE($D$1, MONTH(I1), 1) - WEEKDAY(DATE($D$1, MONTH(I1), 1), 2) + 1 + 0*7 + 0, "")</f>
        <v/>
      </c>
      <c r="C4" s="30">
        <f>IFERROR(DATE($D$1, MONTH(I1), 1) - WEEKDAY(DATE($D$1, MONTH(I1), 1), 2) + 1 + 0*7 + 1, "")</f>
        <v/>
      </c>
      <c r="D4" s="30">
        <f>IFERROR(DATE($D$1, MONTH(I1), 1) - WEEKDAY(DATE($D$1, MONTH(I1), 1), 2) + 1 + 0*7 + 2, "")</f>
        <v/>
      </c>
      <c r="E4" s="30">
        <f>IFERROR(DATE($D$1, MONTH(I1), 1) - WEEKDAY(DATE($D$1, MONTH(I1), 1), 2) + 1 + 0*7 + 3, "")</f>
        <v/>
      </c>
      <c r="F4" s="30">
        <f>IFERROR(DATE($D$1, MONTH(I1), 1) - WEEKDAY(DATE($D$1, MONTH(I1), 1), 2) + 1 + 0*7 + 4, "")</f>
        <v/>
      </c>
      <c r="G4" s="30">
        <f>IFERROR(DATE($D$1, MONTH(I1), 1) - WEEKDAY(DATE($D$1, MONTH(I1), 1), 2) + 1 + 0*7 + 5, "")</f>
        <v/>
      </c>
      <c r="H4" s="30">
        <f>IFERROR(DATE($D$1, MONTH(I1), 1) - WEEKDAY(DATE($D$1, MONTH(I1), 1), 2) + 1 + 0*7 + 6, "")</f>
        <v/>
      </c>
      <c r="I4" s="6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25">
        <f>SUM(J4:AN4)</f>
        <v/>
      </c>
      <c r="AQ4" s="25" t="n"/>
      <c r="AR4" s="25" t="n"/>
      <c r="AS4" s="26" t="n"/>
      <c r="AT4" s="27">
        <f>IF(AS4&gt;0, AO4/AS4, "")</f>
        <v/>
      </c>
    </row>
    <row r="5">
      <c r="A5" s="31">
        <f>WEEKNUM(B5,2)</f>
        <v/>
      </c>
      <c r="B5" s="30">
        <f>IFERROR(DATE($D$1, MONTH(I1), 1) - WEEKDAY(DATE($D$1, MONTH(I1), 1), 2) + 1 + 1*7 + 0, "")</f>
        <v/>
      </c>
      <c r="C5" s="30">
        <f>IFERROR(DATE($D$1, MONTH(I1), 1) - WEEKDAY(DATE($D$1, MONTH(I1), 1), 2) + 1 + 1*7 + 1, "")</f>
        <v/>
      </c>
      <c r="D5" s="30">
        <f>IFERROR(DATE($D$1, MONTH(I1), 1) - WEEKDAY(DATE($D$1, MONTH(I1), 1), 2) + 1 + 1*7 + 2, "")</f>
        <v/>
      </c>
      <c r="E5" s="30">
        <f>IFERROR(DATE($D$1, MONTH(I1), 1) - WEEKDAY(DATE($D$1, MONTH(I1), 1), 2) + 1 + 1*7 + 3, "")</f>
        <v/>
      </c>
      <c r="F5" s="30">
        <f>IFERROR(DATE($D$1, MONTH(I1), 1) - WEEKDAY(DATE($D$1, MONTH(I1), 1), 2) + 1 + 1*7 + 4, "")</f>
        <v/>
      </c>
      <c r="G5" s="30">
        <f>IFERROR(DATE($D$1, MONTH(I1), 1) - WEEKDAY(DATE($D$1, MONTH(I1), 1), 2) + 1 + 1*7 + 5, "")</f>
        <v/>
      </c>
      <c r="H5" s="30">
        <f>IFERROR(DATE($D$1, MONTH(I1), 1) - WEEKDAY(DATE($D$1, MONTH(I1), 1), 2) + 1 + 1*7 + 6, "")</f>
        <v/>
      </c>
      <c r="I5" s="6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25">
        <f>SUM(J5:AN5)</f>
        <v/>
      </c>
      <c r="AQ5" s="25" t="n"/>
      <c r="AR5" s="25" t="n"/>
      <c r="AS5" s="26" t="n"/>
      <c r="AT5" s="27">
        <f>IF(AS5&gt;0, AO5/AS5, "")</f>
        <v/>
      </c>
    </row>
    <row r="6">
      <c r="A6" s="31">
        <f>WEEKNUM(B6,2)</f>
        <v/>
      </c>
      <c r="B6" s="30">
        <f>IFERROR(DATE($D$1, MONTH(I1), 1) - WEEKDAY(DATE($D$1, MONTH(I1), 1), 2) + 1 + 2*7 + 0, "")</f>
        <v/>
      </c>
      <c r="C6" s="30">
        <f>IFERROR(DATE($D$1, MONTH(I1), 1) - WEEKDAY(DATE($D$1, MONTH(I1), 1), 2) + 1 + 2*7 + 1, "")</f>
        <v/>
      </c>
      <c r="D6" s="30">
        <f>IFERROR(DATE($D$1, MONTH(I1), 1) - WEEKDAY(DATE($D$1, MONTH(I1), 1), 2) + 1 + 2*7 + 2, "")</f>
        <v/>
      </c>
      <c r="E6" s="30">
        <f>IFERROR(DATE($D$1, MONTH(I1), 1) - WEEKDAY(DATE($D$1, MONTH(I1), 1), 2) + 1 + 2*7 + 3, "")</f>
        <v/>
      </c>
      <c r="F6" s="30">
        <f>IFERROR(DATE($D$1, MONTH(I1), 1) - WEEKDAY(DATE($D$1, MONTH(I1), 1), 2) + 1 + 2*7 + 4, "")</f>
        <v/>
      </c>
      <c r="G6" s="30">
        <f>IFERROR(DATE($D$1, MONTH(I1), 1) - WEEKDAY(DATE($D$1, MONTH(I1), 1), 2) + 1 + 2*7 + 5, "")</f>
        <v/>
      </c>
      <c r="H6" s="30">
        <f>IFERROR(DATE($D$1, MONTH(I1), 1) - WEEKDAY(DATE($D$1, MONTH(I1), 1), 2) + 1 + 2*7 + 6, "")</f>
        <v/>
      </c>
      <c r="I6" s="6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25">
        <f>SUM(J6:AN6)</f>
        <v/>
      </c>
      <c r="AQ6" s="25" t="n"/>
      <c r="AR6" s="25" t="n"/>
      <c r="AS6" s="26" t="n"/>
      <c r="AT6" s="27">
        <f>IF(AS6&gt;0, AO6/AS6, "")</f>
        <v/>
      </c>
    </row>
    <row r="7">
      <c r="A7" s="31">
        <f>WEEKNUM(B7,2)</f>
        <v/>
      </c>
      <c r="B7" s="30">
        <f>IFERROR(DATE($D$1, MONTH(I1), 1) - WEEKDAY(DATE($D$1, MONTH(I1), 1), 2) + 1 + 3*7 + 0, "")</f>
        <v/>
      </c>
      <c r="C7" s="30">
        <f>IFERROR(DATE($D$1, MONTH(I1), 1) - WEEKDAY(DATE($D$1, MONTH(I1), 1), 2) + 1 + 3*7 + 1, "")</f>
        <v/>
      </c>
      <c r="D7" s="30">
        <f>IFERROR(DATE($D$1, MONTH(I1), 1) - WEEKDAY(DATE($D$1, MONTH(I1), 1), 2) + 1 + 3*7 + 2, "")</f>
        <v/>
      </c>
      <c r="E7" s="30">
        <f>IFERROR(DATE($D$1, MONTH(I1), 1) - WEEKDAY(DATE($D$1, MONTH(I1), 1), 2) + 1 + 3*7 + 3, "")</f>
        <v/>
      </c>
      <c r="F7" s="30">
        <f>IFERROR(DATE($D$1, MONTH(I1), 1) - WEEKDAY(DATE($D$1, MONTH(I1), 1), 2) + 1 + 3*7 + 4, "")</f>
        <v/>
      </c>
      <c r="G7" s="30">
        <f>IFERROR(DATE($D$1, MONTH(I1), 1) - WEEKDAY(DATE($D$1, MONTH(I1), 1), 2) + 1 + 3*7 + 5, "")</f>
        <v/>
      </c>
      <c r="H7" s="30">
        <f>IFERROR(DATE($D$1, MONTH(I1), 1) - WEEKDAY(DATE($D$1, MONTH(I1), 1), 2) + 1 + 3*7 + 6, "")</f>
        <v/>
      </c>
      <c r="I7" s="6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25">
        <f>SUM(J7:AN7)</f>
        <v/>
      </c>
      <c r="AQ7" s="25" t="n"/>
      <c r="AR7" s="25" t="n"/>
      <c r="AS7" s="26" t="n"/>
      <c r="AT7" s="27">
        <f>IF(AS7&gt;0, AO7/AS7, "")</f>
        <v/>
      </c>
    </row>
    <row r="8">
      <c r="A8" s="31">
        <f>WEEKNUM(B8,2)</f>
        <v/>
      </c>
      <c r="B8" s="30">
        <f>IFERROR(DATE($D$1, MONTH(I1), 1) - WEEKDAY(DATE($D$1, MONTH(I1), 1), 2) + 1 + 4*7 + 0, "")</f>
        <v/>
      </c>
      <c r="C8" s="30">
        <f>IFERROR(DATE($D$1, MONTH(I1), 1) - WEEKDAY(DATE($D$1, MONTH(I1), 1), 2) + 1 + 4*7 + 1, "")</f>
        <v/>
      </c>
      <c r="D8" s="30">
        <f>IFERROR(DATE($D$1, MONTH(I1), 1) - WEEKDAY(DATE($D$1, MONTH(I1), 1), 2) + 1 + 4*7 + 2, "")</f>
        <v/>
      </c>
      <c r="E8" s="30">
        <f>IFERROR(DATE($D$1, MONTH(I1), 1) - WEEKDAY(DATE($D$1, MONTH(I1), 1), 2) + 1 + 4*7 + 3, "")</f>
        <v/>
      </c>
      <c r="F8" s="30">
        <f>IFERROR(DATE($D$1, MONTH(I1), 1) - WEEKDAY(DATE($D$1, MONTH(I1), 1), 2) + 1 + 4*7 + 4, "")</f>
        <v/>
      </c>
      <c r="G8" s="30">
        <f>IFERROR(DATE($D$1, MONTH(I1), 1) - WEEKDAY(DATE($D$1, MONTH(I1), 1), 2) + 1 + 4*7 + 5, "")</f>
        <v/>
      </c>
      <c r="H8" s="30">
        <f>IFERROR(DATE($D$1, MONTH(I1), 1) - WEEKDAY(DATE($D$1, MONTH(I1), 1), 2) + 1 + 4*7 + 6, "")</f>
        <v/>
      </c>
      <c r="I8" s="6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25">
        <f>SUM(J8:AN8)</f>
        <v/>
      </c>
      <c r="AQ8" s="25" t="n"/>
      <c r="AR8" s="25" t="n"/>
      <c r="AS8" s="26" t="n"/>
      <c r="AT8" s="27">
        <f>IF(AS8&gt;0, AO8/AS8, "")</f>
        <v/>
      </c>
    </row>
    <row r="9">
      <c r="A9" s="31">
        <f>WEEKNUM(B9,2)</f>
        <v/>
      </c>
      <c r="B9" s="30">
        <f>IFERROR(DATE($D$1, MONTH(I1), 1) - WEEKDAY(DATE($D$1, MONTH(I1), 1), 2) + 1 + 5*7 + 0, "")</f>
        <v/>
      </c>
      <c r="C9" s="30">
        <f>IFERROR(DATE($D$1, MONTH(I1), 1) - WEEKDAY(DATE($D$1, MONTH(I1), 1), 2) + 1 + 5*7 + 1, "")</f>
        <v/>
      </c>
      <c r="D9" s="30">
        <f>IFERROR(DATE($D$1, MONTH(I1), 1) - WEEKDAY(DATE($D$1, MONTH(I1), 1), 2) + 1 + 5*7 + 2, "")</f>
        <v/>
      </c>
      <c r="E9" s="30">
        <f>IFERROR(DATE($D$1, MONTH(I1), 1) - WEEKDAY(DATE($D$1, MONTH(I1), 1), 2) + 1 + 5*7 + 3, "")</f>
        <v/>
      </c>
      <c r="F9" s="30">
        <f>IFERROR(DATE($D$1, MONTH(I1), 1) - WEEKDAY(DATE($D$1, MONTH(I1), 1), 2) + 1 + 5*7 + 4, "")</f>
        <v/>
      </c>
      <c r="G9" s="30">
        <f>IFERROR(DATE($D$1, MONTH(I1), 1) - WEEKDAY(DATE($D$1, MONTH(I1), 1), 2) + 1 + 5*7 + 5, "")</f>
        <v/>
      </c>
      <c r="H9" s="30">
        <f>IFERROR(DATE($D$1, MONTH(I1), 1) - WEEKDAY(DATE($D$1, MONTH(I1), 1), 2) + 1 + 5*7 + 6, "")</f>
        <v/>
      </c>
      <c r="I9" s="6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25">
        <f>SUM(J9:AN9)</f>
        <v/>
      </c>
      <c r="AQ9" s="25" t="n"/>
      <c r="AR9" s="25" t="n"/>
      <c r="AS9" s="26" t="n"/>
      <c r="AT9" s="27">
        <f>IF(AS9&gt;0, AO9/AS9, "")</f>
        <v/>
      </c>
    </row>
    <row r="10" hidden="1" s="69">
      <c r="I10" s="6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25">
        <f>SUM(J10:AN10)</f>
        <v/>
      </c>
      <c r="AQ10" s="25" t="n"/>
      <c r="AR10" s="25" t="n"/>
      <c r="AS10" s="26" t="n"/>
      <c r="AT10" s="27">
        <f>IF(AS10&gt;0, AO10/AS10, "")</f>
        <v/>
      </c>
    </row>
    <row r="11" hidden="1" s="69">
      <c r="I11" s="6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25">
        <f>SUM(J11:AN11)</f>
        <v/>
      </c>
      <c r="AQ11" s="25" t="n"/>
      <c r="AR11" s="25" t="n"/>
      <c r="AS11" s="26" t="n"/>
      <c r="AT11" s="27">
        <f>IF(AS11&gt;0, AO11/AS11, "")</f>
        <v/>
      </c>
    </row>
    <row r="12" hidden="1" s="69">
      <c r="I12" s="6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25">
        <f>SUM(J12:AN12)</f>
        <v/>
      </c>
      <c r="AQ12" s="25" t="n"/>
      <c r="AR12" s="25" t="n"/>
      <c r="AS12" s="26" t="n"/>
      <c r="AT12" s="27">
        <f>IF(AS12&gt;0, AO12/AS12, "")</f>
        <v/>
      </c>
    </row>
    <row r="13" hidden="1" s="69">
      <c r="I13" s="6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25">
        <f>SUM(J13:AN13)</f>
        <v/>
      </c>
      <c r="AQ13" s="25" t="n"/>
      <c r="AR13" s="25" t="n"/>
      <c r="AS13" s="26" t="n"/>
      <c r="AT13" s="27">
        <f>IF(AS13&gt;0, AO13/AS13, "")</f>
        <v/>
      </c>
    </row>
    <row r="14" hidden="1" s="69">
      <c r="I14" s="6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25">
        <f>SUM(J14:AN14)</f>
        <v/>
      </c>
      <c r="AQ14" s="25" t="n"/>
      <c r="AR14" s="25" t="n"/>
      <c r="AS14" s="26" t="n"/>
      <c r="AT14" s="27">
        <f>IF(AS14&gt;0, AO14/AS14, "")</f>
        <v/>
      </c>
    </row>
    <row r="15" hidden="1" s="69">
      <c r="I15" s="6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25">
        <f>SUM(J15:AN15)</f>
        <v/>
      </c>
      <c r="AQ15" s="25" t="n"/>
      <c r="AR15" s="25" t="n"/>
      <c r="AS15" s="26" t="n"/>
      <c r="AT15" s="27">
        <f>IF(AS15&gt;0, AO15/AS15, "")</f>
        <v/>
      </c>
    </row>
    <row r="16" hidden="1" s="69">
      <c r="I16" s="6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25">
        <f>SUM(J16:AN16)</f>
        <v/>
      </c>
      <c r="AQ16" s="25" t="n"/>
      <c r="AR16" s="25" t="n"/>
      <c r="AS16" s="26" t="n"/>
      <c r="AT16" s="27">
        <f>IF(AS16&gt;0, AO16/AS16, "")</f>
        <v/>
      </c>
    </row>
    <row r="17" hidden="1" s="69">
      <c r="I17" s="6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25">
        <f>SUM(J17:AN17)</f>
        <v/>
      </c>
      <c r="AQ17" s="25" t="n"/>
      <c r="AR17" s="25" t="n"/>
      <c r="AS17" s="26" t="n"/>
      <c r="AT17" s="27">
        <f>IF(AS17&gt;0, AO17/AS17, "")</f>
        <v/>
      </c>
    </row>
    <row r="18" hidden="1" s="69">
      <c r="I18" s="6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25">
        <f>SUM(J18:AN18)</f>
        <v/>
      </c>
      <c r="AQ18" s="25" t="n"/>
      <c r="AR18" s="25" t="n"/>
      <c r="AS18" s="26" t="n"/>
      <c r="AT18" s="27">
        <f>IF(AS18&gt;0, AO18/AS18, "")</f>
        <v/>
      </c>
    </row>
    <row r="19" hidden="1" s="69">
      <c r="I19" s="6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25">
        <f>SUM(J19:AN19)</f>
        <v/>
      </c>
      <c r="AQ19" s="25" t="n"/>
      <c r="AR19" s="25" t="n"/>
      <c r="AS19" s="26" t="n"/>
      <c r="AT19" s="27">
        <f>IF(AS19&gt;0, AO19/AS19, "")</f>
        <v/>
      </c>
    </row>
    <row r="20" hidden="1" s="69">
      <c r="I20" s="6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25">
        <f>SUM(J20:AN20)</f>
        <v/>
      </c>
      <c r="AQ20" s="25" t="n"/>
      <c r="AR20" s="25" t="n"/>
      <c r="AS20" s="26" t="n"/>
      <c r="AT20" s="27">
        <f>IF(AS20&gt;0, AO20/AS20, "")</f>
        <v/>
      </c>
    </row>
    <row r="21" hidden="1" s="69">
      <c r="I21" s="6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25">
        <f>SUM(J21:AN21)</f>
        <v/>
      </c>
      <c r="AQ21" s="25" t="n"/>
      <c r="AR21" s="25" t="n"/>
      <c r="AS21" s="26" t="n"/>
      <c r="AT21" s="27">
        <f>IF(AS21&gt;0, AO21/AS21, "")</f>
        <v/>
      </c>
    </row>
    <row r="22" hidden="1" s="69">
      <c r="I22" s="6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25">
        <f>SUM(J22:AN22)</f>
        <v/>
      </c>
      <c r="AQ22" s="25" t="n"/>
      <c r="AR22" s="25" t="n"/>
      <c r="AS22" s="26" t="n"/>
      <c r="AT22" s="27">
        <f>IF(AS22&gt;0, AO22/AS22, "")</f>
        <v/>
      </c>
    </row>
    <row r="23">
      <c r="I23" s="45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</row>
    <row r="24">
      <c r="A24" s="13" t="inlineStr">
        <is>
          <t>🌬️</t>
        </is>
      </c>
      <c r="B24" s="13" t="inlineStr">
        <is>
          <t>FEBRUARY</t>
        </is>
      </c>
      <c r="I24" s="70">
        <f>DATE($D$1,2,1)</f>
        <v/>
      </c>
      <c r="J24" s="16">
        <f>I24</f>
        <v/>
      </c>
      <c r="K24" s="16">
        <f>J24+1</f>
        <v/>
      </c>
      <c r="L24" s="16">
        <f>K24+1</f>
        <v/>
      </c>
      <c r="M24" s="16">
        <f>L24+1</f>
        <v/>
      </c>
      <c r="N24" s="16">
        <f>M24+1</f>
        <v/>
      </c>
      <c r="O24" s="16">
        <f>N24+1</f>
        <v/>
      </c>
      <c r="P24" s="16">
        <f>O24+1</f>
        <v/>
      </c>
      <c r="Q24" s="16">
        <f>P24+1</f>
        <v/>
      </c>
      <c r="R24" s="16">
        <f>Q24+1</f>
        <v/>
      </c>
      <c r="S24" s="16">
        <f>R24+1</f>
        <v/>
      </c>
      <c r="T24" s="16">
        <f>S24+1</f>
        <v/>
      </c>
      <c r="U24" s="16">
        <f>T24+1</f>
        <v/>
      </c>
      <c r="V24" s="16">
        <f>U24+1</f>
        <v/>
      </c>
      <c r="W24" s="16">
        <f>V24+1</f>
        <v/>
      </c>
      <c r="X24" s="16">
        <f>W24+1</f>
        <v/>
      </c>
      <c r="Y24" s="16">
        <f>X24+1</f>
        <v/>
      </c>
      <c r="Z24" s="16">
        <f>Y24+1</f>
        <v/>
      </c>
      <c r="AA24" s="16">
        <f>Z24+1</f>
        <v/>
      </c>
      <c r="AB24" s="16">
        <f>AA24+1</f>
        <v/>
      </c>
      <c r="AC24" s="16">
        <f>AB24+1</f>
        <v/>
      </c>
      <c r="AD24" s="16">
        <f>AC24+1</f>
        <v/>
      </c>
      <c r="AE24" s="16">
        <f>AD24+1</f>
        <v/>
      </c>
      <c r="AF24" s="16">
        <f>AE24+1</f>
        <v/>
      </c>
      <c r="AG24" s="16">
        <f>AF24+1</f>
        <v/>
      </c>
      <c r="AH24" s="16">
        <f>AG24+1</f>
        <v/>
      </c>
      <c r="AI24" s="16">
        <f>AH24+1</f>
        <v/>
      </c>
      <c r="AJ24" s="16">
        <f>AI24+1</f>
        <v/>
      </c>
      <c r="AK24" s="16">
        <f>AJ24+1</f>
        <v/>
      </c>
      <c r="AL24" s="16">
        <f>AK24+1</f>
        <v/>
      </c>
      <c r="AM24" s="16" t="n"/>
      <c r="AN24" s="48" t="n"/>
      <c r="AO24" s="17" t="inlineStr">
        <is>
          <t>TOTAL</t>
        </is>
      </c>
      <c r="AQ24" s="18" t="inlineStr">
        <is>
          <t>current streak 🔥</t>
        </is>
      </c>
      <c r="AR24" s="18" t="inlineStr">
        <is>
          <t>longest streak😼</t>
        </is>
      </c>
      <c r="AS24" s="18" t="inlineStr">
        <is>
          <t>Goal🔢</t>
        </is>
      </c>
      <c r="AT24" s="18" t="inlineStr">
        <is>
          <t>Progress
📈</t>
        </is>
      </c>
    </row>
    <row r="25" ht="15" customHeight="1" s="69">
      <c r="A25" s="34" t="n"/>
      <c r="B25" s="34" t="n"/>
      <c r="I25" s="35" t="n"/>
      <c r="J25" s="36">
        <f>J24</f>
        <v/>
      </c>
      <c r="K25" s="36">
        <f>K24</f>
        <v/>
      </c>
      <c r="L25" s="36">
        <f>L24</f>
        <v/>
      </c>
      <c r="M25" s="36">
        <f>M24</f>
        <v/>
      </c>
      <c r="N25" s="36">
        <f>N24</f>
        <v/>
      </c>
      <c r="O25" s="36">
        <f>O24</f>
        <v/>
      </c>
      <c r="P25" s="36">
        <f>P24</f>
        <v/>
      </c>
      <c r="Q25" s="36">
        <f>Q24</f>
        <v/>
      </c>
      <c r="R25" s="36">
        <f>R24</f>
        <v/>
      </c>
      <c r="S25" s="36">
        <f>S24</f>
        <v/>
      </c>
      <c r="T25" s="36">
        <f>T24</f>
        <v/>
      </c>
      <c r="U25" s="36">
        <f>U24</f>
        <v/>
      </c>
      <c r="V25" s="36">
        <f>V24</f>
        <v/>
      </c>
      <c r="W25" s="36">
        <f>W24</f>
        <v/>
      </c>
      <c r="X25" s="36">
        <f>X24</f>
        <v/>
      </c>
      <c r="Y25" s="36">
        <f>Y24</f>
        <v/>
      </c>
      <c r="Z25" s="36">
        <f>Z24</f>
        <v/>
      </c>
      <c r="AA25" s="36">
        <f>AA24</f>
        <v/>
      </c>
      <c r="AB25" s="36">
        <f>AB24</f>
        <v/>
      </c>
      <c r="AC25" s="36">
        <f>AC24</f>
        <v/>
      </c>
      <c r="AD25" s="36">
        <f>AD24</f>
        <v/>
      </c>
      <c r="AE25" s="36">
        <f>AE24</f>
        <v/>
      </c>
      <c r="AF25" s="36">
        <f>AF24</f>
        <v/>
      </c>
      <c r="AG25" s="36">
        <f>AG24</f>
        <v/>
      </c>
      <c r="AH25" s="36">
        <f>AH24</f>
        <v/>
      </c>
      <c r="AI25" s="36">
        <f>AI24</f>
        <v/>
      </c>
      <c r="AJ25" s="36">
        <f>AJ24</f>
        <v/>
      </c>
      <c r="AK25" s="36">
        <f>AK24</f>
        <v/>
      </c>
      <c r="AL25" s="36">
        <f>AL24</f>
        <v/>
      </c>
      <c r="AM25" s="37" t="n"/>
      <c r="AN25" s="37" t="n"/>
    </row>
    <row r="26">
      <c r="A26" s="22" t="n"/>
      <c r="B26" s="23" t="inlineStr">
        <is>
          <t>Пн</t>
        </is>
      </c>
      <c r="C26" s="23" t="inlineStr">
        <is>
          <t>Вт</t>
        </is>
      </c>
      <c r="D26" s="23" t="inlineStr">
        <is>
          <t>Ср</t>
        </is>
      </c>
      <c r="E26" s="23" t="inlineStr">
        <is>
          <t>Чт</t>
        </is>
      </c>
      <c r="F26" s="23" t="inlineStr">
        <is>
          <t>Пт</t>
        </is>
      </c>
      <c r="G26" s="23" t="inlineStr">
        <is>
          <t>Сб</t>
        </is>
      </c>
      <c r="H26" s="23" t="inlineStr">
        <is>
          <t>Вс</t>
        </is>
      </c>
      <c r="I26" s="6">
        <f>ARRAYFORMULA(Setup!B3:B22)</f>
        <v/>
      </c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25">
        <f>SUM(J26:AN26)</f>
        <v/>
      </c>
      <c r="AQ26" s="25" t="n"/>
      <c r="AR26" s="25" t="n"/>
      <c r="AS26" s="26" t="n"/>
      <c r="AT26" s="27">
        <f>IF(AS26&gt;0, AO26/AS26, "")</f>
        <v/>
      </c>
    </row>
    <row r="27">
      <c r="A27" s="28">
        <f>WEEKNUM(B27,2)</f>
        <v/>
      </c>
      <c r="B27" s="29">
        <f>IFERROR(DATE($D$1, MONTH(I24), 1) - WEEKDAY(DATE($D$1, MONTH(I24), 1), 2) + 1 + 0*7 + 0, "")</f>
        <v/>
      </c>
      <c r="C27" s="30">
        <f>IFERROR(DATE($D$1, MONTH(I24), 1) - WEEKDAY(DATE($D$1, MONTH(I24), 1), 2) + 1 + 0*7 + 1, "")</f>
        <v/>
      </c>
      <c r="D27" s="30">
        <f>IFERROR(DATE($D$1, MONTH(I24), 1) - WEEKDAY(DATE($D$1, MONTH(I24), 1), 2) + 1 + 0*7 + 2, "")</f>
        <v/>
      </c>
      <c r="E27" s="30">
        <f>IFERROR(DATE($D$1, MONTH(I24), 1) - WEEKDAY(DATE($D$1, MONTH(I24), 1), 2) + 1 + 0*7 + 3, "")</f>
        <v/>
      </c>
      <c r="F27" s="30">
        <f>IFERROR(DATE($D$1, MONTH(I24), 1) - WEEKDAY(DATE($D$1, MONTH(I24), 1), 2) + 1 + 0*7 + 4, "")</f>
        <v/>
      </c>
      <c r="G27" s="30">
        <f>IFERROR(DATE($D$1, MONTH(I24), 1) - WEEKDAY(DATE($D$1, MONTH(I24), 1), 2) + 1 + 0*7 + 5, "")</f>
        <v/>
      </c>
      <c r="H27" s="30">
        <f>IFERROR(DATE($D$1, MONTH(I24), 1) - WEEKDAY(DATE($D$1, MONTH(I24), 1), 2) + 1 + 0*7 + 6, "")</f>
        <v/>
      </c>
      <c r="I27" s="6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25">
        <f>SUM(J27:AN27)</f>
        <v/>
      </c>
      <c r="AQ27" s="25" t="n"/>
      <c r="AR27" s="25" t="n"/>
      <c r="AS27" s="26" t="n"/>
      <c r="AT27" s="27">
        <f>IF(AS27&gt;0, AO27/AS27, "")</f>
        <v/>
      </c>
    </row>
    <row r="28">
      <c r="A28" s="31">
        <f>WEEKNUM(B28,2)</f>
        <v/>
      </c>
      <c r="B28" s="30">
        <f>IFERROR(DATE($D$1, MONTH(I24), 1) - WEEKDAY(DATE($D$1, MONTH(I24), 1), 2) + 1 + 1*7 + 0, "")</f>
        <v/>
      </c>
      <c r="C28" s="30">
        <f>IFERROR(DATE($D$1, MONTH(I24), 1) - WEEKDAY(DATE($D$1, MONTH(I24), 1), 2) + 1 + 1*7 + 1, "")</f>
        <v/>
      </c>
      <c r="D28" s="30">
        <f>IFERROR(DATE($D$1, MONTH(I24), 1) - WEEKDAY(DATE($D$1, MONTH(I24), 1), 2) + 1 + 1*7 + 2, "")</f>
        <v/>
      </c>
      <c r="E28" s="30">
        <f>IFERROR(DATE($D$1, MONTH(I24), 1) - WEEKDAY(DATE($D$1, MONTH(I24), 1), 2) + 1 + 1*7 + 3, "")</f>
        <v/>
      </c>
      <c r="F28" s="30">
        <f>IFERROR(DATE($D$1, MONTH(I24), 1) - WEEKDAY(DATE($D$1, MONTH(I24), 1), 2) + 1 + 1*7 + 4, "")</f>
        <v/>
      </c>
      <c r="G28" s="30">
        <f>IFERROR(DATE($D$1, MONTH(I24), 1) - WEEKDAY(DATE($D$1, MONTH(I24), 1), 2) + 1 + 1*7 + 5, "")</f>
        <v/>
      </c>
      <c r="H28" s="30">
        <f>IFERROR(DATE($D$1, MONTH(I24), 1) - WEEKDAY(DATE($D$1, MONTH(I24), 1), 2) + 1 + 1*7 + 6, "")</f>
        <v/>
      </c>
      <c r="I28" s="6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25">
        <f>SUM(J28:AN28)</f>
        <v/>
      </c>
      <c r="AQ28" s="25" t="n"/>
      <c r="AR28" s="25" t="n"/>
      <c r="AS28" s="26" t="n"/>
      <c r="AT28" s="27">
        <f>IF(AS28&gt;0, AO28/AS28, "")</f>
        <v/>
      </c>
    </row>
    <row r="29">
      <c r="A29" s="31">
        <f>WEEKNUM(B29,2)</f>
        <v/>
      </c>
      <c r="B29" s="30">
        <f>IFERROR(DATE($D$1, MONTH(I24), 1) - WEEKDAY(DATE($D$1, MONTH(I24), 1), 2) + 1 + 2*7 + 0, "")</f>
        <v/>
      </c>
      <c r="C29" s="30">
        <f>IFERROR(DATE($D$1, MONTH(I24), 1) - WEEKDAY(DATE($D$1, MONTH(I24), 1), 2) + 1 + 2*7 + 1, "")</f>
        <v/>
      </c>
      <c r="D29" s="30">
        <f>IFERROR(DATE($D$1, MONTH(I24), 1) - WEEKDAY(DATE($D$1, MONTH(I24), 1), 2) + 1 + 2*7 + 2, "")</f>
        <v/>
      </c>
      <c r="E29" s="30">
        <f>IFERROR(DATE($D$1, MONTH(I24), 1) - WEEKDAY(DATE($D$1, MONTH(I24), 1), 2) + 1 + 2*7 + 3, "")</f>
        <v/>
      </c>
      <c r="F29" s="30">
        <f>IFERROR(DATE($D$1, MONTH(I24), 1) - WEEKDAY(DATE($D$1, MONTH(I24), 1), 2) + 1 + 2*7 + 4, "")</f>
        <v/>
      </c>
      <c r="G29" s="30">
        <f>IFERROR(DATE($D$1, MONTH(I24), 1) - WEEKDAY(DATE($D$1, MONTH(I24), 1), 2) + 1 + 2*7 + 5, "")</f>
        <v/>
      </c>
      <c r="H29" s="30">
        <f>IFERROR(DATE($D$1, MONTH(I24), 1) - WEEKDAY(DATE($D$1, MONTH(I24), 1), 2) + 1 + 2*7 + 6, "")</f>
        <v/>
      </c>
      <c r="I29" s="6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25">
        <f>SUM(J29:AN29)</f>
        <v/>
      </c>
      <c r="AQ29" s="25" t="n"/>
      <c r="AR29" s="25" t="n"/>
      <c r="AS29" s="26" t="n"/>
      <c r="AT29" s="27">
        <f>IF(AS29&gt;0, AO29/AS29, "")</f>
        <v/>
      </c>
    </row>
    <row r="30">
      <c r="A30" s="31">
        <f>WEEKNUM(B30,2)</f>
        <v/>
      </c>
      <c r="B30" s="30">
        <f>IFERROR(DATE($D$1, MONTH(I24), 1) - WEEKDAY(DATE($D$1, MONTH(I24), 1), 2) + 1 + 3*7 + 0, "")</f>
        <v/>
      </c>
      <c r="C30" s="30">
        <f>IFERROR(DATE($D$1, MONTH(I24), 1) - WEEKDAY(DATE($D$1, MONTH(I24), 1), 2) + 1 + 3*7 + 1, "")</f>
        <v/>
      </c>
      <c r="D30" s="30">
        <f>IFERROR(DATE($D$1, MONTH(I24), 1) - WEEKDAY(DATE($D$1, MONTH(I24), 1), 2) + 1 + 3*7 + 2, "")</f>
        <v/>
      </c>
      <c r="E30" s="30">
        <f>IFERROR(DATE($D$1, MONTH(I24), 1) - WEEKDAY(DATE($D$1, MONTH(I24), 1), 2) + 1 + 3*7 + 3, "")</f>
        <v/>
      </c>
      <c r="F30" s="30">
        <f>IFERROR(DATE($D$1, MONTH(I24), 1) - WEEKDAY(DATE($D$1, MONTH(I24), 1), 2) + 1 + 3*7 + 4, "")</f>
        <v/>
      </c>
      <c r="G30" s="30">
        <f>IFERROR(DATE($D$1, MONTH(I24), 1) - WEEKDAY(DATE($D$1, MONTH(I24), 1), 2) + 1 + 3*7 + 5, "")</f>
        <v/>
      </c>
      <c r="H30" s="30">
        <f>IFERROR(DATE($D$1, MONTH(I24), 1) - WEEKDAY(DATE($D$1, MONTH(I24), 1), 2) + 1 + 3*7 + 6, "")</f>
        <v/>
      </c>
      <c r="I30" s="6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25">
        <f>SUM(J30:AN30)</f>
        <v/>
      </c>
      <c r="AQ30" s="25" t="n"/>
      <c r="AR30" s="25" t="n"/>
      <c r="AS30" s="26" t="n"/>
      <c r="AT30" s="27">
        <f>IF(AS30&gt;0, AO30/AS30, "")</f>
        <v/>
      </c>
    </row>
    <row r="31">
      <c r="A31" s="31">
        <f>WEEKNUM(B31,2)</f>
        <v/>
      </c>
      <c r="B31" s="30">
        <f>IFERROR(DATE($D$1, MONTH(I24), 1) - WEEKDAY(DATE($D$1, MONTH(I24), 1), 2) + 1 + 4*7 + 0, "")</f>
        <v/>
      </c>
      <c r="C31" s="30">
        <f>IFERROR(DATE($D$1, MONTH(I24), 1) - WEEKDAY(DATE($D$1, MONTH(I24), 1), 2) + 1 + 4*7 + 1, "")</f>
        <v/>
      </c>
      <c r="D31" s="30">
        <f>IFERROR(DATE($D$1, MONTH(I24), 1) - WEEKDAY(DATE($D$1, MONTH(I24), 1), 2) + 1 + 4*7 + 2, "")</f>
        <v/>
      </c>
      <c r="E31" s="30">
        <f>IFERROR(DATE($D$1, MONTH(I24), 1) - WEEKDAY(DATE($D$1, MONTH(I24), 1), 2) + 1 + 4*7 + 3, "")</f>
        <v/>
      </c>
      <c r="F31" s="30">
        <f>IFERROR(DATE($D$1, MONTH(I24), 1) - WEEKDAY(DATE($D$1, MONTH(I24), 1), 2) + 1 + 4*7 + 4, "")</f>
        <v/>
      </c>
      <c r="G31" s="30">
        <f>IFERROR(DATE($D$1, MONTH(I24), 1) - WEEKDAY(DATE($D$1, MONTH(I24), 1), 2) + 1 + 4*7 + 5, "")</f>
        <v/>
      </c>
      <c r="H31" s="30">
        <f>IFERROR(DATE($D$1, MONTH(I24), 1) - WEEKDAY(DATE($D$1, MONTH(I24), 1), 2) + 1 + 4*7 + 6, "")</f>
        <v/>
      </c>
      <c r="I31" s="6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25">
        <f>SUM(J31:AN31)</f>
        <v/>
      </c>
      <c r="AQ31" s="25" t="n"/>
      <c r="AR31" s="25" t="n"/>
      <c r="AS31" s="26" t="n"/>
      <c r="AT31" s="27">
        <f>IF(AS31&gt;0, AO31/AS31, "")</f>
        <v/>
      </c>
    </row>
    <row r="32">
      <c r="A32" s="31">
        <f>WEEKNUM(B32,2)</f>
        <v/>
      </c>
      <c r="B32" s="30">
        <f>IFERROR(DATE($D$1, MONTH(I24), 1) - WEEKDAY(DATE($D$1, MONTH(I24), 1), 2) + 1 + 5*7 + 0, "")</f>
        <v/>
      </c>
      <c r="C32" s="30">
        <f>IFERROR(DATE($D$1, MONTH(I24), 1) - WEEKDAY(DATE($D$1, MONTH(I24), 1), 2) + 1 + 5*7 + 1, "")</f>
        <v/>
      </c>
      <c r="D32" s="30">
        <f>IFERROR(DATE($D$1, MONTH(I24), 1) - WEEKDAY(DATE($D$1, MONTH(I24), 1), 2) + 1 + 5*7 + 2, "")</f>
        <v/>
      </c>
      <c r="E32" s="30">
        <f>IFERROR(DATE($D$1, MONTH(I24), 1) - WEEKDAY(DATE($D$1, MONTH(I24), 1), 2) + 1 + 5*7 + 3, "")</f>
        <v/>
      </c>
      <c r="F32" s="30">
        <f>IFERROR(DATE($D$1, MONTH(I24), 1) - WEEKDAY(DATE($D$1, MONTH(I24), 1), 2) + 1 + 5*7 + 4, "")</f>
        <v/>
      </c>
      <c r="G32" s="30">
        <f>IFERROR(DATE($D$1, MONTH(I24), 1) - WEEKDAY(DATE($D$1, MONTH(I24), 1), 2) + 1 + 5*7 + 5, "")</f>
        <v/>
      </c>
      <c r="H32" s="30">
        <f>IFERROR(DATE($D$1, MONTH(I24), 1) - WEEKDAY(DATE($D$1, MONTH(I24), 1), 2) + 1 + 5*7 + 6, "")</f>
        <v/>
      </c>
      <c r="I32" s="6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25">
        <f>SUM(J32:AN32)</f>
        <v/>
      </c>
      <c r="AQ32" s="25" t="n"/>
      <c r="AR32" s="25" t="n"/>
      <c r="AS32" s="26" t="n"/>
      <c r="AT32" s="27">
        <f>IF(AS32&gt;0, AO32/AS32, "")</f>
        <v/>
      </c>
    </row>
    <row r="33" hidden="1" s="69">
      <c r="A33" s="39" t="n"/>
      <c r="B33" s="40" t="n"/>
      <c r="C33" s="40" t="n"/>
      <c r="D33" s="41" t="n"/>
      <c r="E33" s="41" t="n"/>
      <c r="F33" s="41" t="n"/>
      <c r="G33" s="41" t="n"/>
      <c r="H33" s="41" t="n"/>
      <c r="I33" s="6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25">
        <f>SUM(J33:AN33)</f>
        <v/>
      </c>
      <c r="AQ33" s="25" t="n"/>
      <c r="AR33" s="25" t="n"/>
      <c r="AS33" s="26" t="n"/>
      <c r="AT33" s="27">
        <f>IF(AS33&gt;0, AO33/AS33, "")</f>
        <v/>
      </c>
    </row>
    <row r="34" hidden="1" s="69">
      <c r="A34" s="39" t="n"/>
      <c r="B34" s="40" t="n"/>
      <c r="C34" s="40" t="n"/>
      <c r="D34" s="41" t="n"/>
      <c r="E34" s="41" t="n"/>
      <c r="F34" s="41" t="n"/>
      <c r="G34" s="41" t="n"/>
      <c r="H34" s="41" t="n"/>
      <c r="I34" s="6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25">
        <f>SUM(J34:AN34)</f>
        <v/>
      </c>
      <c r="AQ34" s="25" t="n"/>
      <c r="AR34" s="25" t="n"/>
      <c r="AS34" s="26" t="n"/>
      <c r="AT34" s="27">
        <f>IF(AS34&gt;0, AO34/AS34, "")</f>
        <v/>
      </c>
    </row>
    <row r="35" hidden="1" s="69">
      <c r="A35" s="39" t="n"/>
      <c r="B35" s="40" t="n"/>
      <c r="C35" s="40" t="n"/>
      <c r="D35" s="41" t="n"/>
      <c r="E35" s="41" t="n"/>
      <c r="F35" s="41" t="n"/>
      <c r="G35" s="41" t="n"/>
      <c r="H35" s="41" t="n"/>
      <c r="I35" s="6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25">
        <f>SUM(J35:AN35)</f>
        <v/>
      </c>
      <c r="AQ35" s="25" t="n"/>
      <c r="AR35" s="25" t="n"/>
      <c r="AS35" s="26" t="n"/>
      <c r="AT35" s="27">
        <f>IF(AS35&gt;0, AO35/AS35, "")</f>
        <v/>
      </c>
    </row>
    <row r="36" hidden="1" s="69">
      <c r="A36" s="39" t="n"/>
      <c r="B36" s="40" t="n"/>
      <c r="C36" s="40" t="n"/>
      <c r="D36" s="41" t="n"/>
      <c r="E36" s="41" t="n"/>
      <c r="F36" s="41" t="n"/>
      <c r="G36" s="41" t="n"/>
      <c r="H36" s="41" t="n"/>
      <c r="I36" s="6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25">
        <f>SUM(J36:AN36)</f>
        <v/>
      </c>
      <c r="AQ36" s="25" t="n"/>
      <c r="AR36" s="25" t="n"/>
      <c r="AS36" s="26" t="n"/>
      <c r="AT36" s="27">
        <f>IF(AS36&gt;0, AO36/AS36, "")</f>
        <v/>
      </c>
    </row>
    <row r="37" hidden="1" s="69">
      <c r="A37" s="39" t="n"/>
      <c r="B37" s="40" t="n"/>
      <c r="C37" s="40" t="n"/>
      <c r="D37" s="41" t="n"/>
      <c r="E37" s="41" t="n"/>
      <c r="F37" s="41" t="n"/>
      <c r="G37" s="41" t="n"/>
      <c r="H37" s="41" t="n"/>
      <c r="I37" s="6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25">
        <f>SUM(J37:AN37)</f>
        <v/>
      </c>
      <c r="AQ37" s="25" t="n"/>
      <c r="AR37" s="25" t="n"/>
      <c r="AS37" s="26" t="n"/>
      <c r="AT37" s="27">
        <f>IF(AS37&gt;0, AO37/AS37, "")</f>
        <v/>
      </c>
    </row>
    <row r="38" hidden="1" s="69">
      <c r="A38" s="39" t="n"/>
      <c r="B38" s="40" t="n"/>
      <c r="C38" s="40" t="n"/>
      <c r="D38" s="41" t="n"/>
      <c r="E38" s="41" t="n"/>
      <c r="F38" s="41" t="n"/>
      <c r="G38" s="41" t="n"/>
      <c r="H38" s="41" t="n"/>
      <c r="I38" s="6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25">
        <f>SUM(J38:AN38)</f>
        <v/>
      </c>
      <c r="AQ38" s="25" t="n"/>
      <c r="AR38" s="25" t="n"/>
      <c r="AS38" s="26" t="n"/>
      <c r="AT38" s="27">
        <f>IF(AS38&gt;0, AO38/AS38, "")</f>
        <v/>
      </c>
    </row>
    <row r="39" hidden="1" s="69">
      <c r="A39" s="39" t="n"/>
      <c r="B39" s="40" t="n"/>
      <c r="C39" s="40" t="n"/>
      <c r="D39" s="41" t="n"/>
      <c r="E39" s="41" t="n"/>
      <c r="F39" s="41" t="n"/>
      <c r="G39" s="41" t="n"/>
      <c r="H39" s="41" t="n"/>
      <c r="I39" s="6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25">
        <f>SUM(J39:AN39)</f>
        <v/>
      </c>
      <c r="AQ39" s="25" t="n"/>
      <c r="AR39" s="25" t="n"/>
      <c r="AS39" s="26" t="n"/>
      <c r="AT39" s="27">
        <f>IF(AS39&gt;0, AO39/AS39, "")</f>
        <v/>
      </c>
    </row>
    <row r="40" hidden="1" s="69">
      <c r="A40" s="39" t="n"/>
      <c r="B40" s="40" t="n"/>
      <c r="C40" s="40" t="n"/>
      <c r="D40" s="41" t="n"/>
      <c r="E40" s="41" t="n"/>
      <c r="F40" s="41" t="n"/>
      <c r="G40" s="41" t="n"/>
      <c r="H40" s="41" t="n"/>
      <c r="I40" s="6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25">
        <f>SUM(J40:AN40)</f>
        <v/>
      </c>
      <c r="AQ40" s="25" t="n"/>
      <c r="AR40" s="25" t="n"/>
      <c r="AS40" s="26" t="n"/>
      <c r="AT40" s="27">
        <f>IF(AS40&gt;0, AO40/AS40, "")</f>
        <v/>
      </c>
    </row>
    <row r="41" hidden="1" s="69">
      <c r="A41" s="39" t="n"/>
      <c r="B41" s="40" t="n"/>
      <c r="C41" s="40" t="n"/>
      <c r="D41" s="41" t="n"/>
      <c r="E41" s="41" t="n"/>
      <c r="F41" s="41" t="n"/>
      <c r="G41" s="41" t="n"/>
      <c r="H41" s="41" t="n"/>
      <c r="I41" s="6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25">
        <f>SUM(J41:AN41)</f>
        <v/>
      </c>
      <c r="AQ41" s="25" t="n"/>
      <c r="AR41" s="25" t="n"/>
      <c r="AS41" s="26" t="n"/>
      <c r="AT41" s="27">
        <f>IF(AS41&gt;0, AO41/AS41, "")</f>
        <v/>
      </c>
    </row>
    <row r="42" hidden="1" s="69">
      <c r="A42" s="39" t="n"/>
      <c r="B42" s="40" t="n"/>
      <c r="C42" s="40" t="n"/>
      <c r="D42" s="41" t="n"/>
      <c r="E42" s="41" t="n"/>
      <c r="F42" s="41" t="n"/>
      <c r="G42" s="41" t="n"/>
      <c r="H42" s="41" t="n"/>
      <c r="I42" s="6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25">
        <f>SUM(J42:AN42)</f>
        <v/>
      </c>
      <c r="AQ42" s="25" t="n"/>
      <c r="AR42" s="25" t="n"/>
      <c r="AS42" s="26" t="n"/>
      <c r="AT42" s="27">
        <f>IF(AS42&gt;0, AO42/AS42, "")</f>
        <v/>
      </c>
    </row>
    <row r="43" hidden="1" s="69">
      <c r="A43" s="39" t="n"/>
      <c r="B43" s="40" t="n"/>
      <c r="C43" s="40" t="n"/>
      <c r="D43" s="41" t="n"/>
      <c r="E43" s="41" t="n"/>
      <c r="F43" s="41" t="n"/>
      <c r="G43" s="41" t="n"/>
      <c r="H43" s="41" t="n"/>
      <c r="I43" s="6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25">
        <f>SUM(J43:AN43)</f>
        <v/>
      </c>
      <c r="AQ43" s="25" t="n"/>
      <c r="AR43" s="25" t="n"/>
      <c r="AS43" s="26" t="n"/>
      <c r="AT43" s="27">
        <f>IF(AS43&gt;0, AO43/AS43, "")</f>
        <v/>
      </c>
    </row>
    <row r="44" hidden="1" s="69">
      <c r="A44" s="39" t="n"/>
      <c r="B44" s="40" t="n"/>
      <c r="C44" s="40" t="n"/>
      <c r="D44" s="41" t="n"/>
      <c r="E44" s="41" t="n"/>
      <c r="F44" s="41" t="n"/>
      <c r="G44" s="41" t="n"/>
      <c r="H44" s="41" t="n"/>
      <c r="I44" s="6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25">
        <f>SUM(J44:AN44)</f>
        <v/>
      </c>
      <c r="AQ44" s="25" t="n"/>
      <c r="AR44" s="25" t="n"/>
      <c r="AS44" s="26" t="n"/>
      <c r="AT44" s="27">
        <f>IF(AS44&gt;0, AO44/AS44, "")</f>
        <v/>
      </c>
    </row>
    <row r="45" hidden="1" s="69">
      <c r="A45" s="39" t="n"/>
      <c r="B45" s="40" t="n"/>
      <c r="C45" s="40" t="n"/>
      <c r="D45" s="41" t="n"/>
      <c r="E45" s="41" t="n"/>
      <c r="F45" s="41" t="n"/>
      <c r="G45" s="41" t="n"/>
      <c r="H45" s="41" t="n"/>
      <c r="I45" s="6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25">
        <f>SUM(J45:AN45)</f>
        <v/>
      </c>
      <c r="AQ45" s="25" t="n"/>
      <c r="AR45" s="25" t="n"/>
      <c r="AS45" s="26" t="n"/>
      <c r="AT45" s="27">
        <f>IF(AS45&gt;0, AO45/AS45, "")</f>
        <v/>
      </c>
    </row>
    <row r="46">
      <c r="A46" s="42" t="n"/>
      <c r="B46" s="42" t="n"/>
      <c r="C46" s="42" t="n"/>
      <c r="D46" s="42" t="n"/>
      <c r="E46" s="42" t="n"/>
      <c r="F46" s="43" t="n"/>
      <c r="G46" s="43" t="n"/>
      <c r="H46" s="44" t="n"/>
      <c r="I46" s="45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Q46" s="38" t="n"/>
      <c r="AR46" s="38" t="n"/>
      <c r="AS46" s="38" t="n"/>
      <c r="AT46" s="38" t="n"/>
    </row>
    <row r="47">
      <c r="A47" s="13" t="inlineStr">
        <is>
          <t>🦆</t>
        </is>
      </c>
      <c r="B47" s="13" t="inlineStr">
        <is>
          <t>MARCH</t>
        </is>
      </c>
      <c r="I47" s="70">
        <f>DATE($D$1,3,1)</f>
        <v/>
      </c>
      <c r="J47" s="16">
        <f>I47</f>
        <v/>
      </c>
      <c r="K47" s="16">
        <f>J47+1</f>
        <v/>
      </c>
      <c r="L47" s="16">
        <f>K47+1</f>
        <v/>
      </c>
      <c r="M47" s="16">
        <f>L47+1</f>
        <v/>
      </c>
      <c r="N47" s="16">
        <f>M47+1</f>
        <v/>
      </c>
      <c r="O47" s="16">
        <f>N47+1</f>
        <v/>
      </c>
      <c r="P47" s="16">
        <f>O47+1</f>
        <v/>
      </c>
      <c r="Q47" s="16">
        <f>P47+1</f>
        <v/>
      </c>
      <c r="R47" s="16">
        <f>Q47+1</f>
        <v/>
      </c>
      <c r="S47" s="16">
        <f>R47+1</f>
        <v/>
      </c>
      <c r="T47" s="16">
        <f>S47+1</f>
        <v/>
      </c>
      <c r="U47" s="16">
        <f>T47+1</f>
        <v/>
      </c>
      <c r="V47" s="16">
        <f>U47+1</f>
        <v/>
      </c>
      <c r="W47" s="16">
        <f>V47+1</f>
        <v/>
      </c>
      <c r="X47" s="16">
        <f>W47+1</f>
        <v/>
      </c>
      <c r="Y47" s="16">
        <f>X47+1</f>
        <v/>
      </c>
      <c r="Z47" s="16">
        <f>Y47+1</f>
        <v/>
      </c>
      <c r="AA47" s="16">
        <f>Z47+1</f>
        <v/>
      </c>
      <c r="AB47" s="16">
        <f>AA47+1</f>
        <v/>
      </c>
      <c r="AC47" s="16">
        <f>AB47+1</f>
        <v/>
      </c>
      <c r="AD47" s="16">
        <f>AC47+1</f>
        <v/>
      </c>
      <c r="AE47" s="16">
        <f>AD47+1</f>
        <v/>
      </c>
      <c r="AF47" s="16">
        <f>AE47+1</f>
        <v/>
      </c>
      <c r="AG47" s="16">
        <f>AF47+1</f>
        <v/>
      </c>
      <c r="AH47" s="16">
        <f>AG47+1</f>
        <v/>
      </c>
      <c r="AI47" s="16">
        <f>AH47+1</f>
        <v/>
      </c>
      <c r="AJ47" s="16">
        <f>AI47+1</f>
        <v/>
      </c>
      <c r="AK47" s="16">
        <f>AJ47+1</f>
        <v/>
      </c>
      <c r="AL47" s="16">
        <f>AK47+1</f>
        <v/>
      </c>
      <c r="AM47" s="16">
        <f>AL47+1</f>
        <v/>
      </c>
      <c r="AN47" s="16">
        <f>AM47+1</f>
        <v/>
      </c>
      <c r="AO47" s="17" t="inlineStr">
        <is>
          <t>TOTAL</t>
        </is>
      </c>
      <c r="AQ47" s="18" t="inlineStr">
        <is>
          <t>current streak 🔥</t>
        </is>
      </c>
      <c r="AR47" s="18" t="inlineStr">
        <is>
          <t>longest streak😼</t>
        </is>
      </c>
      <c r="AS47" s="18" t="inlineStr">
        <is>
          <t>Goal🔢</t>
        </is>
      </c>
      <c r="AT47" s="18" t="inlineStr">
        <is>
          <t>Progress
📈</t>
        </is>
      </c>
    </row>
    <row r="48" ht="15" customHeight="1" s="69">
      <c r="A48" s="34" t="n"/>
      <c r="B48" s="34" t="n"/>
      <c r="I48" s="35" t="n"/>
      <c r="J48" s="36">
        <f>J47</f>
        <v/>
      </c>
      <c r="K48" s="36">
        <f>K47</f>
        <v/>
      </c>
      <c r="L48" s="36">
        <f>L47</f>
        <v/>
      </c>
      <c r="M48" s="36">
        <f>M47</f>
        <v/>
      </c>
      <c r="N48" s="36">
        <f>N47</f>
        <v/>
      </c>
      <c r="O48" s="36">
        <f>O47</f>
        <v/>
      </c>
      <c r="P48" s="36">
        <f>P47</f>
        <v/>
      </c>
      <c r="Q48" s="36">
        <f>Q47</f>
        <v/>
      </c>
      <c r="R48" s="36">
        <f>R47</f>
        <v/>
      </c>
      <c r="S48" s="36">
        <f>S47</f>
        <v/>
      </c>
      <c r="T48" s="36">
        <f>T47</f>
        <v/>
      </c>
      <c r="U48" s="36">
        <f>U47</f>
        <v/>
      </c>
      <c r="V48" s="36">
        <f>V47</f>
        <v/>
      </c>
      <c r="W48" s="36">
        <f>W47</f>
        <v/>
      </c>
      <c r="X48" s="36">
        <f>X47</f>
        <v/>
      </c>
      <c r="Y48" s="36">
        <f>Y47</f>
        <v/>
      </c>
      <c r="Z48" s="36">
        <f>Z47</f>
        <v/>
      </c>
      <c r="AA48" s="36">
        <f>AA47</f>
        <v/>
      </c>
      <c r="AB48" s="36">
        <f>AB47</f>
        <v/>
      </c>
      <c r="AC48" s="36">
        <f>AC47</f>
        <v/>
      </c>
      <c r="AD48" s="36">
        <f>AD47</f>
        <v/>
      </c>
      <c r="AE48" s="36">
        <f>AE47</f>
        <v/>
      </c>
      <c r="AF48" s="36">
        <f>AF47</f>
        <v/>
      </c>
      <c r="AG48" s="36">
        <f>AG47</f>
        <v/>
      </c>
      <c r="AH48" s="36">
        <f>AH47</f>
        <v/>
      </c>
      <c r="AI48" s="36">
        <f>AI47</f>
        <v/>
      </c>
      <c r="AJ48" s="36">
        <f>AJ47</f>
        <v/>
      </c>
      <c r="AK48" s="36">
        <f>AK47</f>
        <v/>
      </c>
      <c r="AL48" s="36">
        <f>AL47</f>
        <v/>
      </c>
      <c r="AM48" s="36">
        <f>AM47</f>
        <v/>
      </c>
      <c r="AN48" s="36">
        <f>AN47</f>
        <v/>
      </c>
    </row>
    <row r="49">
      <c r="A49" s="22" t="n"/>
      <c r="B49" s="23" t="inlineStr">
        <is>
          <t>Пн</t>
        </is>
      </c>
      <c r="C49" s="23" t="inlineStr">
        <is>
          <t>Вт</t>
        </is>
      </c>
      <c r="D49" s="23" t="inlineStr">
        <is>
          <t>Ср</t>
        </is>
      </c>
      <c r="E49" s="23" t="inlineStr">
        <is>
          <t>Чт</t>
        </is>
      </c>
      <c r="F49" s="23" t="inlineStr">
        <is>
          <t>Пт</t>
        </is>
      </c>
      <c r="G49" s="23" t="inlineStr">
        <is>
          <t>Сб</t>
        </is>
      </c>
      <c r="H49" s="23" t="inlineStr">
        <is>
          <t>Вс</t>
        </is>
      </c>
      <c r="I49" s="6">
        <f>ARRAYFORMULA(Setup!B3:B22)</f>
        <v/>
      </c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25">
        <f>SUM(J49:AN49)</f>
        <v/>
      </c>
      <c r="AQ49" s="25" t="n"/>
      <c r="AR49" s="25" t="n"/>
      <c r="AS49" s="26" t="n"/>
      <c r="AT49" s="27">
        <f>IF(AS49&gt;0, AO49/AS49, "")</f>
        <v/>
      </c>
    </row>
    <row r="50">
      <c r="A50" s="28">
        <f>WEEKNUM(B50,2)</f>
        <v/>
      </c>
      <c r="B50" s="29">
        <f>IFERROR(DATE($D$1, MONTH(I47), 1) - WEEKDAY(DATE($D$1, MONTH(I47), 1), 2) + 1 + 0*7 + 0, "")</f>
        <v/>
      </c>
      <c r="C50" s="30">
        <f>IFERROR(DATE($D$1, MONTH(I47), 1) - WEEKDAY(DATE($D$1, MONTH(I47), 1), 2) + 1 + 0*7 + 1, "")</f>
        <v/>
      </c>
      <c r="D50" s="30">
        <f>IFERROR(DATE($D$1, MONTH(I47), 1) - WEEKDAY(DATE($D$1, MONTH(I47), 1), 2) + 1 + 0*7 + 2, "")</f>
        <v/>
      </c>
      <c r="E50" s="30">
        <f>IFERROR(DATE($D$1, MONTH(I47), 1) - WEEKDAY(DATE($D$1, MONTH(I47), 1), 2) + 1 + 0*7 + 3, "")</f>
        <v/>
      </c>
      <c r="F50" s="30">
        <f>IFERROR(DATE($D$1, MONTH(I47), 1) - WEEKDAY(DATE($D$1, MONTH(I47), 1), 2) + 1 + 0*7 + 4, "")</f>
        <v/>
      </c>
      <c r="G50" s="30">
        <f>IFERROR(DATE($D$1, MONTH(I47), 1) - WEEKDAY(DATE($D$1, MONTH(I47), 1), 2) + 1 + 0*7 + 5, "")</f>
        <v/>
      </c>
      <c r="H50" s="30">
        <f>IFERROR(DATE($D$1, MONTH(I47), 1) - WEEKDAY(DATE($D$1, MONTH(I47), 1), 2) + 1 + 0*7 + 6, "")</f>
        <v/>
      </c>
      <c r="I50" s="6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25">
        <f>SUM(J50:AN50)</f>
        <v/>
      </c>
      <c r="AQ50" s="25" t="n"/>
      <c r="AR50" s="25" t="n"/>
      <c r="AS50" s="26" t="n"/>
      <c r="AT50" s="27">
        <f>IF(AS50&gt;0, AO50/AS50, "")</f>
        <v/>
      </c>
    </row>
    <row r="51">
      <c r="A51" s="31">
        <f>WEEKNUM(B51,2)</f>
        <v/>
      </c>
      <c r="B51" s="30">
        <f>IFERROR(DATE($D$1, MONTH(I47), 1) - WEEKDAY(DATE($D$1, MONTH(I47), 1), 2) + 1 + 1*7 + 0, "")</f>
        <v/>
      </c>
      <c r="C51" s="30">
        <f>IFERROR(DATE($D$1, MONTH(I47), 1) - WEEKDAY(DATE($D$1, MONTH(I47), 1), 2) + 1 + 1*7 + 1, "")</f>
        <v/>
      </c>
      <c r="D51" s="30">
        <f>IFERROR(DATE($D$1, MONTH(I47), 1) - WEEKDAY(DATE($D$1, MONTH(I47), 1), 2) + 1 + 1*7 + 2, "")</f>
        <v/>
      </c>
      <c r="E51" s="30">
        <f>IFERROR(DATE($D$1, MONTH(I47), 1) - WEEKDAY(DATE($D$1, MONTH(I47), 1), 2) + 1 + 1*7 + 3, "")</f>
        <v/>
      </c>
      <c r="F51" s="30">
        <f>IFERROR(DATE($D$1, MONTH(I47), 1) - WEEKDAY(DATE($D$1, MONTH(I47), 1), 2) + 1 + 1*7 + 4, "")</f>
        <v/>
      </c>
      <c r="G51" s="30">
        <f>IFERROR(DATE($D$1, MONTH(I47), 1) - WEEKDAY(DATE($D$1, MONTH(I47), 1), 2) + 1 + 1*7 + 5, "")</f>
        <v/>
      </c>
      <c r="H51" s="30">
        <f>IFERROR(DATE($D$1, MONTH(I47), 1) - WEEKDAY(DATE($D$1, MONTH(I47), 1), 2) + 1 + 1*7 + 6, "")</f>
        <v/>
      </c>
      <c r="I51" s="6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25">
        <f>SUM(J51:AN51)</f>
        <v/>
      </c>
      <c r="AQ51" s="25" t="n"/>
      <c r="AR51" s="25" t="n"/>
      <c r="AS51" s="26" t="n"/>
      <c r="AT51" s="27">
        <f>IF(AS51&gt;0, AO51/AS51, "")</f>
        <v/>
      </c>
    </row>
    <row r="52">
      <c r="A52" s="31">
        <f>WEEKNUM(B52,2)</f>
        <v/>
      </c>
      <c r="B52" s="30">
        <f>IFERROR(DATE($D$1, MONTH(I47), 1) - WEEKDAY(DATE($D$1, MONTH(I47), 1), 2) + 1 + 2*7 + 0, "")</f>
        <v/>
      </c>
      <c r="C52" s="30">
        <f>IFERROR(DATE($D$1, MONTH(I47), 1) - WEEKDAY(DATE($D$1, MONTH(I47), 1), 2) + 1 + 2*7 + 1, "")</f>
        <v/>
      </c>
      <c r="D52" s="30">
        <f>IFERROR(DATE($D$1, MONTH(I47), 1) - WEEKDAY(DATE($D$1, MONTH(I47), 1), 2) + 1 + 2*7 + 2, "")</f>
        <v/>
      </c>
      <c r="E52" s="30">
        <f>IFERROR(DATE($D$1, MONTH(I47), 1) - WEEKDAY(DATE($D$1, MONTH(I47), 1), 2) + 1 + 2*7 + 3, "")</f>
        <v/>
      </c>
      <c r="F52" s="30">
        <f>IFERROR(DATE($D$1, MONTH(I47), 1) - WEEKDAY(DATE($D$1, MONTH(I47), 1), 2) + 1 + 2*7 + 4, "")</f>
        <v/>
      </c>
      <c r="G52" s="30">
        <f>IFERROR(DATE($D$1, MONTH(I47), 1) - WEEKDAY(DATE($D$1, MONTH(I47), 1), 2) + 1 + 2*7 + 5, "")</f>
        <v/>
      </c>
      <c r="H52" s="30">
        <f>IFERROR(DATE($D$1, MONTH(I47), 1) - WEEKDAY(DATE($D$1, MONTH(I47), 1), 2) + 1 + 2*7 + 6, "")</f>
        <v/>
      </c>
      <c r="I52" s="6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25">
        <f>SUM(J52:AN52)</f>
        <v/>
      </c>
      <c r="AQ52" s="25" t="n"/>
      <c r="AR52" s="25" t="n"/>
      <c r="AS52" s="26" t="n"/>
      <c r="AT52" s="27">
        <f>IF(AS52&gt;0, AO52/AS52, "")</f>
        <v/>
      </c>
    </row>
    <row r="53">
      <c r="A53" s="31">
        <f>WEEKNUM(B53,2)</f>
        <v/>
      </c>
      <c r="B53" s="30">
        <f>IFERROR(DATE($D$1, MONTH(I47), 1) - WEEKDAY(DATE($D$1, MONTH(I47), 1), 2) + 1 + 3*7 + 0, "")</f>
        <v/>
      </c>
      <c r="C53" s="30">
        <f>IFERROR(DATE($D$1, MONTH(I47), 1) - WEEKDAY(DATE($D$1, MONTH(I47), 1), 2) + 1 + 3*7 + 1, "")</f>
        <v/>
      </c>
      <c r="D53" s="30">
        <f>IFERROR(DATE($D$1, MONTH(I47), 1) - WEEKDAY(DATE($D$1, MONTH(I47), 1), 2) + 1 + 3*7 + 2, "")</f>
        <v/>
      </c>
      <c r="E53" s="30">
        <f>IFERROR(DATE($D$1, MONTH(I47), 1) - WEEKDAY(DATE($D$1, MONTH(I47), 1), 2) + 1 + 3*7 + 3, "")</f>
        <v/>
      </c>
      <c r="F53" s="30">
        <f>IFERROR(DATE($D$1, MONTH(I47), 1) - WEEKDAY(DATE($D$1, MONTH(I47), 1), 2) + 1 + 3*7 + 4, "")</f>
        <v/>
      </c>
      <c r="G53" s="30">
        <f>IFERROR(DATE($D$1, MONTH(I47), 1) - WEEKDAY(DATE($D$1, MONTH(I47), 1), 2) + 1 + 3*7 + 5, "")</f>
        <v/>
      </c>
      <c r="H53" s="30">
        <f>IFERROR(DATE($D$1, MONTH(I47), 1) - WEEKDAY(DATE($D$1, MONTH(I47), 1), 2) + 1 + 3*7 + 6, "")</f>
        <v/>
      </c>
      <c r="I53" s="6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25">
        <f>SUM(J53:AN53)</f>
        <v/>
      </c>
      <c r="AQ53" s="25" t="n"/>
      <c r="AR53" s="25" t="n"/>
      <c r="AS53" s="26" t="n"/>
      <c r="AT53" s="27">
        <f>IF(AS53&gt;0, AO53/AS53, "")</f>
        <v/>
      </c>
    </row>
    <row r="54">
      <c r="A54" s="31">
        <f>WEEKNUM(B54,2)</f>
        <v/>
      </c>
      <c r="B54" s="30">
        <f>IFERROR(DATE($D$1, MONTH(I47), 1) - WEEKDAY(DATE($D$1, MONTH(I47), 1), 2) + 1 + 4*7 + 0, "")</f>
        <v/>
      </c>
      <c r="C54" s="30">
        <f>IFERROR(DATE($D$1, MONTH(I47), 1) - WEEKDAY(DATE($D$1, MONTH(I47), 1), 2) + 1 + 4*7 + 1, "")</f>
        <v/>
      </c>
      <c r="D54" s="30">
        <f>IFERROR(DATE($D$1, MONTH(I47), 1) - WEEKDAY(DATE($D$1, MONTH(I47), 1), 2) + 1 + 4*7 + 2, "")</f>
        <v/>
      </c>
      <c r="E54" s="30">
        <f>IFERROR(DATE($D$1, MONTH(I47), 1) - WEEKDAY(DATE($D$1, MONTH(I47), 1), 2) + 1 + 4*7 + 3, "")</f>
        <v/>
      </c>
      <c r="F54" s="30">
        <f>IFERROR(DATE($D$1, MONTH(I47), 1) - WEEKDAY(DATE($D$1, MONTH(I47), 1), 2) + 1 + 4*7 + 4, "")</f>
        <v/>
      </c>
      <c r="G54" s="30">
        <f>IFERROR(DATE($D$1, MONTH(I47), 1) - WEEKDAY(DATE($D$1, MONTH(I47), 1), 2) + 1 + 4*7 + 5, "")</f>
        <v/>
      </c>
      <c r="H54" s="30">
        <f>IFERROR(DATE($D$1, MONTH(I47), 1) - WEEKDAY(DATE($D$1, MONTH(I47), 1), 2) + 1 + 4*7 + 6, "")</f>
        <v/>
      </c>
      <c r="I54" s="6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25">
        <f>SUM(J54:AN54)</f>
        <v/>
      </c>
      <c r="AQ54" s="25" t="n"/>
      <c r="AR54" s="25" t="n"/>
      <c r="AS54" s="26" t="n"/>
      <c r="AT54" s="27">
        <f>IF(AS54&gt;0, AO54/AS54, "")</f>
        <v/>
      </c>
    </row>
    <row r="55">
      <c r="A55" s="31">
        <f>WEEKNUM(B55,2)</f>
        <v/>
      </c>
      <c r="B55" s="30">
        <f>IFERROR(DATE($D$1, MONTH(I47), 1) - WEEKDAY(DATE($D$1, MONTH(I47), 1), 2) + 1 + 5*7 + 0, "")</f>
        <v/>
      </c>
      <c r="C55" s="30">
        <f>IFERROR(DATE($D$1, MONTH(I47), 1) - WEEKDAY(DATE($D$1, MONTH(I47), 1), 2) + 1 + 5*7 + 1, "")</f>
        <v/>
      </c>
      <c r="D55" s="30">
        <f>IFERROR(DATE($D$1, MONTH(I47), 1) - WEEKDAY(DATE($D$1, MONTH(I47), 1), 2) + 1 + 5*7 + 2, "")</f>
        <v/>
      </c>
      <c r="E55" s="30">
        <f>IFERROR(DATE($D$1, MONTH(I47), 1) - WEEKDAY(DATE($D$1, MONTH(I47), 1), 2) + 1 + 5*7 + 3, "")</f>
        <v/>
      </c>
      <c r="F55" s="30">
        <f>IFERROR(DATE($D$1, MONTH(I47), 1) - WEEKDAY(DATE($D$1, MONTH(I47), 1), 2) + 1 + 5*7 + 4, "")</f>
        <v/>
      </c>
      <c r="G55" s="30">
        <f>IFERROR(DATE($D$1, MONTH(I47), 1) - WEEKDAY(DATE($D$1, MONTH(I47), 1), 2) + 1 + 5*7 + 5, "")</f>
        <v/>
      </c>
      <c r="H55" s="30">
        <f>IFERROR(DATE($D$1, MONTH(I47), 1) - WEEKDAY(DATE($D$1, MONTH(I47), 1), 2) + 1 + 5*7 + 6, "")</f>
        <v/>
      </c>
      <c r="I55" s="6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8" t="n"/>
      <c r="AG55" s="38" t="n"/>
      <c r="AH55" s="38" t="n"/>
      <c r="AI55" s="38" t="n"/>
      <c r="AJ55" s="38" t="n"/>
      <c r="AK55" s="38" t="n"/>
      <c r="AL55" s="38" t="n"/>
      <c r="AM55" s="38" t="n"/>
      <c r="AN55" s="38" t="n"/>
      <c r="AO55" s="25">
        <f>SUM(J55:AN55)</f>
        <v/>
      </c>
      <c r="AQ55" s="25" t="n"/>
      <c r="AR55" s="25" t="n"/>
      <c r="AS55" s="26" t="n"/>
      <c r="AT55" s="27">
        <f>IF(AS55&gt;0, AO55/AS55, "")</f>
        <v/>
      </c>
    </row>
    <row r="56" hidden="1" s="69">
      <c r="A56" s="39" t="n"/>
      <c r="B56" s="40" t="n"/>
      <c r="C56" s="40" t="n"/>
      <c r="D56" s="40" t="n"/>
      <c r="E56" s="40" t="n"/>
      <c r="F56" s="40" t="n"/>
      <c r="G56" s="41" t="n"/>
      <c r="H56" s="41" t="n"/>
      <c r="I56" s="6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25">
        <f>SUM(J56:AN56)</f>
        <v/>
      </c>
      <c r="AQ56" s="25" t="n"/>
      <c r="AR56" s="25" t="n"/>
      <c r="AS56" s="26" t="n"/>
      <c r="AT56" s="27">
        <f>IF(AS56&gt;0, AO56/AS56, "")</f>
        <v/>
      </c>
    </row>
    <row r="57" hidden="1" s="69">
      <c r="A57" s="39" t="n"/>
      <c r="B57" s="40" t="n"/>
      <c r="C57" s="40" t="n"/>
      <c r="D57" s="40" t="n"/>
      <c r="E57" s="40" t="n"/>
      <c r="F57" s="40" t="n"/>
      <c r="G57" s="41" t="n"/>
      <c r="H57" s="41" t="n"/>
      <c r="I57" s="6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  <c r="AO57" s="25">
        <f>SUM(J57:AN57)</f>
        <v/>
      </c>
      <c r="AQ57" s="25" t="n"/>
      <c r="AR57" s="25" t="n"/>
      <c r="AS57" s="26" t="n"/>
      <c r="AT57" s="27">
        <f>IF(AS57&gt;0, AO57/AS57, "")</f>
        <v/>
      </c>
    </row>
    <row r="58" hidden="1" s="69">
      <c r="A58" s="39" t="n"/>
      <c r="B58" s="40" t="n"/>
      <c r="C58" s="40" t="n"/>
      <c r="D58" s="40" t="n"/>
      <c r="E58" s="40" t="n"/>
      <c r="F58" s="40" t="n"/>
      <c r="G58" s="41" t="n"/>
      <c r="H58" s="41" t="n"/>
      <c r="I58" s="6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  <c r="AF58" s="38" t="n"/>
      <c r="AG58" s="38" t="n"/>
      <c r="AH58" s="38" t="n"/>
      <c r="AI58" s="38" t="n"/>
      <c r="AJ58" s="38" t="n"/>
      <c r="AK58" s="38" t="n"/>
      <c r="AL58" s="38" t="n"/>
      <c r="AM58" s="38" t="n"/>
      <c r="AN58" s="38" t="n"/>
      <c r="AO58" s="25">
        <f>SUM(J58:AN58)</f>
        <v/>
      </c>
      <c r="AQ58" s="25" t="n"/>
      <c r="AR58" s="25" t="n"/>
      <c r="AS58" s="26" t="n"/>
      <c r="AT58" s="27">
        <f>IF(AS58&gt;0, AO58/AS58, "")</f>
        <v/>
      </c>
    </row>
    <row r="59" hidden="1" s="69">
      <c r="A59" s="39" t="n"/>
      <c r="B59" s="40" t="n"/>
      <c r="C59" s="40" t="n"/>
      <c r="D59" s="40" t="n"/>
      <c r="E59" s="40" t="n"/>
      <c r="F59" s="40" t="n"/>
      <c r="G59" s="41" t="n"/>
      <c r="H59" s="41" t="n"/>
      <c r="I59" s="6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  <c r="AO59" s="25">
        <f>SUM(J59:AN59)</f>
        <v/>
      </c>
      <c r="AQ59" s="25" t="n"/>
      <c r="AR59" s="25" t="n"/>
      <c r="AS59" s="26" t="n"/>
      <c r="AT59" s="27">
        <f>IF(AS59&gt;0, AO59/AS59, "")</f>
        <v/>
      </c>
    </row>
    <row r="60" hidden="1" s="69">
      <c r="A60" s="39" t="n"/>
      <c r="B60" s="40" t="n"/>
      <c r="C60" s="40" t="n"/>
      <c r="D60" s="40" t="n"/>
      <c r="E60" s="40" t="n"/>
      <c r="F60" s="40" t="n"/>
      <c r="G60" s="41" t="n"/>
      <c r="H60" s="41" t="n"/>
      <c r="I60" s="6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25">
        <f>SUM(J60:AN60)</f>
        <v/>
      </c>
      <c r="AQ60" s="25" t="n"/>
      <c r="AR60" s="25" t="n"/>
      <c r="AS60" s="26" t="n"/>
      <c r="AT60" s="27">
        <f>IF(AS60&gt;0, AO60/AS60, "")</f>
        <v/>
      </c>
    </row>
    <row r="61" hidden="1" s="69">
      <c r="A61" s="39" t="n"/>
      <c r="B61" s="40" t="n"/>
      <c r="C61" s="40" t="n"/>
      <c r="D61" s="40" t="n"/>
      <c r="E61" s="40" t="n"/>
      <c r="F61" s="40" t="n"/>
      <c r="G61" s="41" t="n"/>
      <c r="H61" s="41" t="n"/>
      <c r="I61" s="6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  <c r="AJ61" s="38" t="n"/>
      <c r="AK61" s="38" t="n"/>
      <c r="AL61" s="38" t="n"/>
      <c r="AM61" s="38" t="n"/>
      <c r="AN61" s="38" t="n"/>
      <c r="AO61" s="25">
        <f>SUM(J61:AN61)</f>
        <v/>
      </c>
      <c r="AQ61" s="25" t="n"/>
      <c r="AR61" s="25" t="n"/>
      <c r="AS61" s="26" t="n"/>
      <c r="AT61" s="27">
        <f>IF(AS61&gt;0, AO61/AS61, "")</f>
        <v/>
      </c>
    </row>
    <row r="62" hidden="1" s="69">
      <c r="A62" s="39" t="n"/>
      <c r="B62" s="40" t="n"/>
      <c r="C62" s="40" t="n"/>
      <c r="D62" s="40" t="n"/>
      <c r="E62" s="40" t="n"/>
      <c r="F62" s="40" t="n"/>
      <c r="G62" s="41" t="n"/>
      <c r="H62" s="41" t="n"/>
      <c r="I62" s="6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  <c r="AF62" s="38" t="n"/>
      <c r="AG62" s="38" t="n"/>
      <c r="AH62" s="38" t="n"/>
      <c r="AI62" s="38" t="n"/>
      <c r="AJ62" s="38" t="n"/>
      <c r="AK62" s="38" t="n"/>
      <c r="AL62" s="38" t="n"/>
      <c r="AM62" s="38" t="n"/>
      <c r="AN62" s="38" t="n"/>
      <c r="AO62" s="25">
        <f>SUM(J62:AN62)</f>
        <v/>
      </c>
      <c r="AQ62" s="25" t="n"/>
      <c r="AR62" s="25" t="n"/>
      <c r="AS62" s="26" t="n"/>
      <c r="AT62" s="27">
        <f>IF(AS62&gt;0, AO62/AS62, "")</f>
        <v/>
      </c>
    </row>
    <row r="63" hidden="1" s="69">
      <c r="A63" s="39" t="n"/>
      <c r="B63" s="40" t="n"/>
      <c r="C63" s="40" t="n"/>
      <c r="D63" s="40" t="n"/>
      <c r="E63" s="40" t="n"/>
      <c r="F63" s="40" t="n"/>
      <c r="G63" s="41" t="n"/>
      <c r="H63" s="41" t="n"/>
      <c r="I63" s="6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  <c r="AO63" s="25">
        <f>SUM(J63:AN63)</f>
        <v/>
      </c>
      <c r="AQ63" s="25" t="n"/>
      <c r="AR63" s="25" t="n"/>
      <c r="AS63" s="26" t="n"/>
      <c r="AT63" s="27">
        <f>IF(AS63&gt;0, AO63/AS63, "")</f>
        <v/>
      </c>
    </row>
    <row r="64" hidden="1" s="69">
      <c r="A64" s="39" t="n"/>
      <c r="B64" s="40" t="n"/>
      <c r="C64" s="40" t="n"/>
      <c r="D64" s="40" t="n"/>
      <c r="E64" s="40" t="n"/>
      <c r="F64" s="40" t="n"/>
      <c r="G64" s="41" t="n"/>
      <c r="H64" s="41" t="n"/>
      <c r="I64" s="6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  <c r="AF64" s="38" t="n"/>
      <c r="AG64" s="38" t="n"/>
      <c r="AH64" s="38" t="n"/>
      <c r="AI64" s="38" t="n"/>
      <c r="AJ64" s="38" t="n"/>
      <c r="AK64" s="38" t="n"/>
      <c r="AL64" s="38" t="n"/>
      <c r="AM64" s="38" t="n"/>
      <c r="AN64" s="38" t="n"/>
      <c r="AO64" s="25">
        <f>SUM(J64:AN64)</f>
        <v/>
      </c>
      <c r="AQ64" s="25" t="n"/>
      <c r="AR64" s="25" t="n"/>
      <c r="AS64" s="26" t="n"/>
      <c r="AT64" s="27">
        <f>IF(AS64&gt;0, AO64/AS64, "")</f>
        <v/>
      </c>
    </row>
    <row r="65" hidden="1" s="69">
      <c r="A65" s="39" t="n"/>
      <c r="B65" s="40" t="n"/>
      <c r="C65" s="40" t="n"/>
      <c r="D65" s="40" t="n"/>
      <c r="E65" s="40" t="n"/>
      <c r="F65" s="40" t="n"/>
      <c r="G65" s="41" t="n"/>
      <c r="H65" s="41" t="n"/>
      <c r="I65" s="6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  <c r="AO65" s="25">
        <f>SUM(J65:AN65)</f>
        <v/>
      </c>
      <c r="AQ65" s="25" t="n"/>
      <c r="AR65" s="25" t="n"/>
      <c r="AS65" s="26" t="n"/>
      <c r="AT65" s="27">
        <f>IF(AS65&gt;0, AO65/AS65, "")</f>
        <v/>
      </c>
    </row>
    <row r="66" hidden="1" s="69">
      <c r="A66" s="39" t="n"/>
      <c r="B66" s="40" t="n"/>
      <c r="C66" s="40" t="n"/>
      <c r="D66" s="40" t="n"/>
      <c r="E66" s="40" t="n"/>
      <c r="F66" s="40" t="n"/>
      <c r="G66" s="41" t="n"/>
      <c r="H66" s="41" t="n"/>
      <c r="I66" s="6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25">
        <f>SUM(J66:AN66)</f>
        <v/>
      </c>
      <c r="AQ66" s="25" t="n"/>
      <c r="AR66" s="25" t="n"/>
      <c r="AS66" s="26" t="n"/>
      <c r="AT66" s="27">
        <f>IF(AS66&gt;0, AO66/AS66, "")</f>
        <v/>
      </c>
    </row>
    <row r="67" hidden="1" s="69">
      <c r="A67" s="39" t="n"/>
      <c r="B67" s="40" t="n"/>
      <c r="C67" s="40" t="n"/>
      <c r="D67" s="40" t="n"/>
      <c r="E67" s="40" t="n"/>
      <c r="F67" s="40" t="n"/>
      <c r="G67" s="41" t="n"/>
      <c r="H67" s="41" t="n"/>
      <c r="I67" s="6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  <c r="AF67" s="38" t="n"/>
      <c r="AG67" s="38" t="n"/>
      <c r="AH67" s="38" t="n"/>
      <c r="AI67" s="38" t="n"/>
      <c r="AJ67" s="38" t="n"/>
      <c r="AK67" s="38" t="n"/>
      <c r="AL67" s="38" t="n"/>
      <c r="AM67" s="38" t="n"/>
      <c r="AN67" s="38" t="n"/>
      <c r="AO67" s="25">
        <f>SUM(J67:AN67)</f>
        <v/>
      </c>
      <c r="AQ67" s="25" t="n"/>
      <c r="AR67" s="25" t="n"/>
      <c r="AS67" s="26" t="n"/>
      <c r="AT67" s="27">
        <f>IF(AS67&gt;0, AO67/AS67, "")</f>
        <v/>
      </c>
    </row>
    <row r="68" hidden="1" s="69">
      <c r="A68" s="39" t="n"/>
      <c r="B68" s="40" t="n"/>
      <c r="C68" s="40" t="n"/>
      <c r="D68" s="40" t="n"/>
      <c r="E68" s="40" t="n"/>
      <c r="F68" s="40" t="n"/>
      <c r="G68" s="41" t="n"/>
      <c r="H68" s="41" t="n"/>
      <c r="I68" s="6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  <c r="AO68" s="25">
        <f>SUM(J68:AN68)</f>
        <v/>
      </c>
      <c r="AQ68" s="25" t="n"/>
      <c r="AR68" s="25" t="n"/>
      <c r="AS68" s="26" t="n"/>
      <c r="AT68" s="27">
        <f>IF(AS68&gt;0, AO68/AS68, "")</f>
        <v/>
      </c>
    </row>
    <row r="69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Q69" s="38" t="n"/>
      <c r="AR69" s="38" t="n"/>
      <c r="AS69" s="38" t="n"/>
      <c r="AT69" s="38" t="n"/>
    </row>
    <row r="70">
      <c r="A70" s="13" t="inlineStr">
        <is>
          <t>🐇</t>
        </is>
      </c>
      <c r="B70" s="13" t="inlineStr">
        <is>
          <t>APRIL</t>
        </is>
      </c>
      <c r="I70" s="70">
        <f>DATE($D$1,4,1)</f>
        <v/>
      </c>
      <c r="J70" s="16">
        <f>I70</f>
        <v/>
      </c>
      <c r="K70" s="16">
        <f>J70+1</f>
        <v/>
      </c>
      <c r="L70" s="16">
        <f>K70+1</f>
        <v/>
      </c>
      <c r="M70" s="16">
        <f>L70+1</f>
        <v/>
      </c>
      <c r="N70" s="16">
        <f>M70+1</f>
        <v/>
      </c>
      <c r="O70" s="16">
        <f>N70+1</f>
        <v/>
      </c>
      <c r="P70" s="16">
        <f>O70+1</f>
        <v/>
      </c>
      <c r="Q70" s="16">
        <f>P70+1</f>
        <v/>
      </c>
      <c r="R70" s="16">
        <f>Q70+1</f>
        <v/>
      </c>
      <c r="S70" s="16">
        <f>R70+1</f>
        <v/>
      </c>
      <c r="T70" s="16">
        <f>S70+1</f>
        <v/>
      </c>
      <c r="U70" s="16">
        <f>T70+1</f>
        <v/>
      </c>
      <c r="V70" s="16">
        <f>U70+1</f>
        <v/>
      </c>
      <c r="W70" s="16">
        <f>V70+1</f>
        <v/>
      </c>
      <c r="X70" s="16">
        <f>W70+1</f>
        <v/>
      </c>
      <c r="Y70" s="16">
        <f>X70+1</f>
        <v/>
      </c>
      <c r="Z70" s="16">
        <f>Y70+1</f>
        <v/>
      </c>
      <c r="AA70" s="16">
        <f>Z70+1</f>
        <v/>
      </c>
      <c r="AB70" s="16">
        <f>AA70+1</f>
        <v/>
      </c>
      <c r="AC70" s="16">
        <f>AB70+1</f>
        <v/>
      </c>
      <c r="AD70" s="16">
        <f>AC70+1</f>
        <v/>
      </c>
      <c r="AE70" s="16">
        <f>AD70+1</f>
        <v/>
      </c>
      <c r="AF70" s="16">
        <f>AE70+1</f>
        <v/>
      </c>
      <c r="AG70" s="16">
        <f>AF70+1</f>
        <v/>
      </c>
      <c r="AH70" s="16">
        <f>AG70+1</f>
        <v/>
      </c>
      <c r="AI70" s="16">
        <f>AH70+1</f>
        <v/>
      </c>
      <c r="AJ70" s="16">
        <f>AI70+1</f>
        <v/>
      </c>
      <c r="AK70" s="16">
        <f>AJ70+1</f>
        <v/>
      </c>
      <c r="AL70" s="16">
        <f>AK70+1</f>
        <v/>
      </c>
      <c r="AM70" s="16">
        <f>AL70+1</f>
        <v/>
      </c>
      <c r="AN70" s="16" t="n"/>
      <c r="AO70" s="17" t="inlineStr">
        <is>
          <t>TOTAL</t>
        </is>
      </c>
      <c r="AQ70" s="18" t="inlineStr">
        <is>
          <t>current streak 🔥</t>
        </is>
      </c>
      <c r="AR70" s="18" t="inlineStr">
        <is>
          <t>longest streak😼</t>
        </is>
      </c>
      <c r="AS70" s="18" t="inlineStr">
        <is>
          <t>Goal🔢</t>
        </is>
      </c>
      <c r="AT70" s="18" t="inlineStr">
        <is>
          <t>Progress
📈</t>
        </is>
      </c>
    </row>
    <row r="71" ht="15" customHeight="1" s="69">
      <c r="A71" s="34" t="n"/>
      <c r="B71" s="34" t="n"/>
      <c r="I71" s="35" t="n"/>
      <c r="J71" s="36">
        <f>J70</f>
        <v/>
      </c>
      <c r="K71" s="36">
        <f>K70</f>
        <v/>
      </c>
      <c r="L71" s="36">
        <f>L70</f>
        <v/>
      </c>
      <c r="M71" s="36">
        <f>M70</f>
        <v/>
      </c>
      <c r="N71" s="36">
        <f>N70</f>
        <v/>
      </c>
      <c r="O71" s="36">
        <f>O70</f>
        <v/>
      </c>
      <c r="P71" s="36">
        <f>P70</f>
        <v/>
      </c>
      <c r="Q71" s="36">
        <f>Q70</f>
        <v/>
      </c>
      <c r="R71" s="36">
        <f>R70</f>
        <v/>
      </c>
      <c r="S71" s="36">
        <f>S70</f>
        <v/>
      </c>
      <c r="T71" s="36">
        <f>T70</f>
        <v/>
      </c>
      <c r="U71" s="36">
        <f>U70</f>
        <v/>
      </c>
      <c r="V71" s="36">
        <f>V70</f>
        <v/>
      </c>
      <c r="W71" s="36">
        <f>W70</f>
        <v/>
      </c>
      <c r="X71" s="36">
        <f>X70</f>
        <v/>
      </c>
      <c r="Y71" s="36">
        <f>Y70</f>
        <v/>
      </c>
      <c r="Z71" s="36">
        <f>Z70</f>
        <v/>
      </c>
      <c r="AA71" s="36">
        <f>AA70</f>
        <v/>
      </c>
      <c r="AB71" s="36">
        <f>AB70</f>
        <v/>
      </c>
      <c r="AC71" s="36">
        <f>AC70</f>
        <v/>
      </c>
      <c r="AD71" s="36">
        <f>AD70</f>
        <v/>
      </c>
      <c r="AE71" s="36">
        <f>AE70</f>
        <v/>
      </c>
      <c r="AF71" s="36">
        <f>AF70</f>
        <v/>
      </c>
      <c r="AG71" s="36">
        <f>AG70</f>
        <v/>
      </c>
      <c r="AH71" s="36">
        <f>AH70</f>
        <v/>
      </c>
      <c r="AI71" s="36">
        <f>AI70</f>
        <v/>
      </c>
      <c r="AJ71" s="36">
        <f>AJ70</f>
        <v/>
      </c>
      <c r="AK71" s="36">
        <f>AK70</f>
        <v/>
      </c>
      <c r="AL71" s="36">
        <f>AL70</f>
        <v/>
      </c>
      <c r="AM71" s="36">
        <f>AM70</f>
        <v/>
      </c>
      <c r="AN71" s="36">
        <f>AN70</f>
        <v/>
      </c>
    </row>
    <row r="72">
      <c r="A72" s="22" t="n"/>
      <c r="B72" s="52" t="inlineStr">
        <is>
          <t>Пн</t>
        </is>
      </c>
      <c r="C72" s="52" t="inlineStr">
        <is>
          <t>Вт</t>
        </is>
      </c>
      <c r="D72" s="52" t="inlineStr">
        <is>
          <t>Ср</t>
        </is>
      </c>
      <c r="E72" s="52" t="inlineStr">
        <is>
          <t>Чт</t>
        </is>
      </c>
      <c r="F72" s="52" t="inlineStr">
        <is>
          <t>Пт</t>
        </is>
      </c>
      <c r="G72" s="52" t="inlineStr">
        <is>
          <t>Сб</t>
        </is>
      </c>
      <c r="H72" s="52" t="inlineStr">
        <is>
          <t>Вс</t>
        </is>
      </c>
      <c r="I72" s="6">
        <f>ARRAYFORMULA(Setup!B3:B22)</f>
        <v/>
      </c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8" t="n"/>
      <c r="AN72" s="38" t="n"/>
      <c r="AO72" s="25">
        <f>SUM(J72:AN72)</f>
        <v/>
      </c>
      <c r="AQ72" s="25" t="n"/>
      <c r="AR72" s="25" t="n"/>
      <c r="AS72" s="26" t="n"/>
      <c r="AT72" s="27">
        <f>IF(AS72&gt;0, AO72/AS72, "")</f>
        <v/>
      </c>
    </row>
    <row r="73">
      <c r="A73" s="28">
        <f>WEEKNUM(B73,2)</f>
        <v/>
      </c>
      <c r="B73" s="29">
        <f>IFERROR(DATE($D$1, MONTH(I70), 1) - WEEKDAY(DATE($D$1, MONTH(I70), 1), 2) + 1 + 0*7 + 0, "")</f>
        <v/>
      </c>
      <c r="C73" s="30">
        <f>IFERROR(DATE($D$1, MONTH(I70), 1) - WEEKDAY(DATE($D$1, MONTH(I70), 1), 2) + 1 + 0*7 + 1, "")</f>
        <v/>
      </c>
      <c r="D73" s="30">
        <f>IFERROR(DATE($D$1, MONTH(I70), 1) - WEEKDAY(DATE($D$1, MONTH(I70), 1), 2) + 1 + 0*7 + 2, "")</f>
        <v/>
      </c>
      <c r="E73" s="30">
        <f>IFERROR(DATE($D$1, MONTH(I70), 1) - WEEKDAY(DATE($D$1, MONTH(I70), 1), 2) + 1 + 0*7 + 3, "")</f>
        <v/>
      </c>
      <c r="F73" s="30">
        <f>IFERROR(DATE($D$1, MONTH(I70), 1) - WEEKDAY(DATE($D$1, MONTH(I70), 1), 2) + 1 + 0*7 + 4, "")</f>
        <v/>
      </c>
      <c r="G73" s="30">
        <f>IFERROR(DATE($D$1, MONTH(I70), 1) - WEEKDAY(DATE($D$1, MONTH(I70), 1), 2) + 1 + 0*7 + 5, "")</f>
        <v/>
      </c>
      <c r="H73" s="30">
        <f>IFERROR(DATE($D$1, MONTH(I70), 1) - WEEKDAY(DATE($D$1, MONTH(I70), 1), 2) + 1 + 0*7 + 6, "")</f>
        <v/>
      </c>
      <c r="I73" s="6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  <c r="AO73" s="25">
        <f>SUM(J73:AN73)</f>
        <v/>
      </c>
      <c r="AQ73" s="25" t="n"/>
      <c r="AR73" s="25" t="n"/>
      <c r="AS73" s="26" t="n"/>
      <c r="AT73" s="27">
        <f>IF(AS73&gt;0, AO73/AS73, "")</f>
        <v/>
      </c>
    </row>
    <row r="74">
      <c r="A74" s="31">
        <f>WEEKNUM(B74,2)</f>
        <v/>
      </c>
      <c r="B74" s="30">
        <f>IFERROR(DATE($D$1, MONTH(I70), 1) - WEEKDAY(DATE($D$1, MONTH(I70), 1), 2) + 1 + 1*7 + 0, "")</f>
        <v/>
      </c>
      <c r="C74" s="30">
        <f>IFERROR(DATE($D$1, MONTH(I70), 1) - WEEKDAY(DATE($D$1, MONTH(I70), 1), 2) + 1 + 1*7 + 1, "")</f>
        <v/>
      </c>
      <c r="D74" s="30">
        <f>IFERROR(DATE($D$1, MONTH(I70), 1) - WEEKDAY(DATE($D$1, MONTH(I70), 1), 2) + 1 + 1*7 + 2, "")</f>
        <v/>
      </c>
      <c r="E74" s="30">
        <f>IFERROR(DATE($D$1, MONTH(I70), 1) - WEEKDAY(DATE($D$1, MONTH(I70), 1), 2) + 1 + 1*7 + 3, "")</f>
        <v/>
      </c>
      <c r="F74" s="30">
        <f>IFERROR(DATE($D$1, MONTH(I70), 1) - WEEKDAY(DATE($D$1, MONTH(I70), 1), 2) + 1 + 1*7 + 4, "")</f>
        <v/>
      </c>
      <c r="G74" s="30">
        <f>IFERROR(DATE($D$1, MONTH(I70), 1) - WEEKDAY(DATE($D$1, MONTH(I70), 1), 2) + 1 + 1*7 + 5, "")</f>
        <v/>
      </c>
      <c r="H74" s="30">
        <f>IFERROR(DATE($D$1, MONTH(I70), 1) - WEEKDAY(DATE($D$1, MONTH(I70), 1), 2) + 1 + 1*7 + 6, "")</f>
        <v/>
      </c>
      <c r="I74" s="6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  <c r="AF74" s="38" t="n"/>
      <c r="AG74" s="38" t="n"/>
      <c r="AH74" s="38" t="n"/>
      <c r="AI74" s="38" t="n"/>
      <c r="AJ74" s="38" t="n"/>
      <c r="AK74" s="38" t="n"/>
      <c r="AL74" s="38" t="n"/>
      <c r="AM74" s="38" t="n"/>
      <c r="AN74" s="38" t="n"/>
      <c r="AO74" s="25">
        <f>SUM(J74:AN74)</f>
        <v/>
      </c>
      <c r="AQ74" s="25" t="n"/>
      <c r="AR74" s="25" t="n"/>
      <c r="AS74" s="26" t="n"/>
      <c r="AT74" s="27">
        <f>IF(AS74&gt;0, AO74/AS74, "")</f>
        <v/>
      </c>
    </row>
    <row r="75">
      <c r="A75" s="31">
        <f>WEEKNUM(B75,2)</f>
        <v/>
      </c>
      <c r="B75" s="30">
        <f>IFERROR(DATE($D$1, MONTH(I70), 1) - WEEKDAY(DATE($D$1, MONTH(I70), 1), 2) + 1 + 2*7 + 0, "")</f>
        <v/>
      </c>
      <c r="C75" s="30">
        <f>IFERROR(DATE($D$1, MONTH(I70), 1) - WEEKDAY(DATE($D$1, MONTH(I70), 1), 2) + 1 + 2*7 + 1, "")</f>
        <v/>
      </c>
      <c r="D75" s="30">
        <f>IFERROR(DATE($D$1, MONTH(I70), 1) - WEEKDAY(DATE($D$1, MONTH(I70), 1), 2) + 1 + 2*7 + 2, "")</f>
        <v/>
      </c>
      <c r="E75" s="30">
        <f>IFERROR(DATE($D$1, MONTH(I70), 1) - WEEKDAY(DATE($D$1, MONTH(I70), 1), 2) + 1 + 2*7 + 3, "")</f>
        <v/>
      </c>
      <c r="F75" s="30">
        <f>IFERROR(DATE($D$1, MONTH(I70), 1) - WEEKDAY(DATE($D$1, MONTH(I70), 1), 2) + 1 + 2*7 + 4, "")</f>
        <v/>
      </c>
      <c r="G75" s="30">
        <f>IFERROR(DATE($D$1, MONTH(I70), 1) - WEEKDAY(DATE($D$1, MONTH(I70), 1), 2) + 1 + 2*7 + 5, "")</f>
        <v/>
      </c>
      <c r="H75" s="30">
        <f>IFERROR(DATE($D$1, MONTH(I70), 1) - WEEKDAY(DATE($D$1, MONTH(I70), 1), 2) + 1 + 2*7 + 6, "")</f>
        <v/>
      </c>
      <c r="I75" s="6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25">
        <f>SUM(J75:AN75)</f>
        <v/>
      </c>
      <c r="AQ75" s="25" t="n"/>
      <c r="AR75" s="25" t="n"/>
      <c r="AS75" s="26" t="n"/>
      <c r="AT75" s="27">
        <f>IF(AS75&gt;0, AO75/AS75, "")</f>
        <v/>
      </c>
    </row>
    <row r="76">
      <c r="A76" s="31">
        <f>WEEKNUM(B76,2)</f>
        <v/>
      </c>
      <c r="B76" s="30">
        <f>IFERROR(DATE($D$1, MONTH(I70), 1) - WEEKDAY(DATE($D$1, MONTH(I70), 1), 2) + 1 + 3*7 + 0, "")</f>
        <v/>
      </c>
      <c r="C76" s="30">
        <f>IFERROR(DATE($D$1, MONTH(I70), 1) - WEEKDAY(DATE($D$1, MONTH(I70), 1), 2) + 1 + 3*7 + 1, "")</f>
        <v/>
      </c>
      <c r="D76" s="30">
        <f>IFERROR(DATE($D$1, MONTH(I70), 1) - WEEKDAY(DATE($D$1, MONTH(I70), 1), 2) + 1 + 3*7 + 2, "")</f>
        <v/>
      </c>
      <c r="E76" s="30">
        <f>IFERROR(DATE($D$1, MONTH(I70), 1) - WEEKDAY(DATE($D$1, MONTH(I70), 1), 2) + 1 + 3*7 + 3, "")</f>
        <v/>
      </c>
      <c r="F76" s="30">
        <f>IFERROR(DATE($D$1, MONTH(I70), 1) - WEEKDAY(DATE($D$1, MONTH(I70), 1), 2) + 1 + 3*7 + 4, "")</f>
        <v/>
      </c>
      <c r="G76" s="30">
        <f>IFERROR(DATE($D$1, MONTH(I70), 1) - WEEKDAY(DATE($D$1, MONTH(I70), 1), 2) + 1 + 3*7 + 5, "")</f>
        <v/>
      </c>
      <c r="H76" s="30">
        <f>IFERROR(DATE($D$1, MONTH(I70), 1) - WEEKDAY(DATE($D$1, MONTH(I70), 1), 2) + 1 + 3*7 + 6, "")</f>
        <v/>
      </c>
      <c r="I76" s="6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  <c r="AK76" s="38" t="n"/>
      <c r="AL76" s="38" t="n"/>
      <c r="AM76" s="38" t="n"/>
      <c r="AN76" s="38" t="n"/>
      <c r="AO76" s="25">
        <f>SUM(J76:AN76)</f>
        <v/>
      </c>
      <c r="AQ76" s="25" t="n"/>
      <c r="AR76" s="25" t="n"/>
      <c r="AS76" s="26" t="n"/>
      <c r="AT76" s="27">
        <f>IF(AS76&gt;0, AO76/AS76, "")</f>
        <v/>
      </c>
    </row>
    <row r="77">
      <c r="A77" s="31">
        <f>WEEKNUM(B77,2)</f>
        <v/>
      </c>
      <c r="B77" s="30">
        <f>IFERROR(DATE($D$1, MONTH(I70), 1) - WEEKDAY(DATE($D$1, MONTH(I70), 1), 2) + 1 + 4*7 + 0, "")</f>
        <v/>
      </c>
      <c r="C77" s="30">
        <f>IFERROR(DATE($D$1, MONTH(I70), 1) - WEEKDAY(DATE($D$1, MONTH(I70), 1), 2) + 1 + 4*7 + 1, "")</f>
        <v/>
      </c>
      <c r="D77" s="30">
        <f>IFERROR(DATE($D$1, MONTH(I70), 1) - WEEKDAY(DATE($D$1, MONTH(I70), 1), 2) + 1 + 4*7 + 2, "")</f>
        <v/>
      </c>
      <c r="E77" s="30">
        <f>IFERROR(DATE($D$1, MONTH(I70), 1) - WEEKDAY(DATE($D$1, MONTH(I70), 1), 2) + 1 + 4*7 + 3, "")</f>
        <v/>
      </c>
      <c r="F77" s="30">
        <f>IFERROR(DATE($D$1, MONTH(I70), 1) - WEEKDAY(DATE($D$1, MONTH(I70), 1), 2) + 1 + 4*7 + 4, "")</f>
        <v/>
      </c>
      <c r="G77" s="30">
        <f>IFERROR(DATE($D$1, MONTH(I70), 1) - WEEKDAY(DATE($D$1, MONTH(I70), 1), 2) + 1 + 4*7 + 5, "")</f>
        <v/>
      </c>
      <c r="H77" s="30">
        <f>IFERROR(DATE($D$1, MONTH(I70), 1) - WEEKDAY(DATE($D$1, MONTH(I70), 1), 2) + 1 + 4*7 + 6, "")</f>
        <v/>
      </c>
      <c r="I77" s="6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25">
        <f>SUM(J77:AN77)</f>
        <v/>
      </c>
      <c r="AQ77" s="25" t="n"/>
      <c r="AR77" s="25" t="n"/>
      <c r="AS77" s="26" t="n"/>
      <c r="AT77" s="27">
        <f>IF(AS77&gt;0, AO77/AS77, "")</f>
        <v/>
      </c>
    </row>
    <row r="78">
      <c r="A78" s="31">
        <f>WEEKNUM(B78,2)</f>
        <v/>
      </c>
      <c r="B78" s="30">
        <f>IFERROR(DATE($D$1, MONTH(I70), 1) - WEEKDAY(DATE($D$1, MONTH(I70), 1), 2) + 1 + 5*7 + 0, "")</f>
        <v/>
      </c>
      <c r="C78" s="30">
        <f>IFERROR(DATE($D$1, MONTH(I70), 1) - WEEKDAY(DATE($D$1, MONTH(I70), 1), 2) + 1 + 5*7 + 1, "")</f>
        <v/>
      </c>
      <c r="D78" s="30">
        <f>IFERROR(DATE($D$1, MONTH(I70), 1) - WEEKDAY(DATE($D$1, MONTH(I70), 1), 2) + 1 + 5*7 + 2, "")</f>
        <v/>
      </c>
      <c r="E78" s="30">
        <f>IFERROR(DATE($D$1, MONTH(I70), 1) - WEEKDAY(DATE($D$1, MONTH(I70), 1), 2) + 1 + 5*7 + 3, "")</f>
        <v/>
      </c>
      <c r="F78" s="30">
        <f>IFERROR(DATE($D$1, MONTH(I70), 1) - WEEKDAY(DATE($D$1, MONTH(I70), 1), 2) + 1 + 5*7 + 4, "")</f>
        <v/>
      </c>
      <c r="G78" s="30">
        <f>IFERROR(DATE($D$1, MONTH(I70), 1) - WEEKDAY(DATE($D$1, MONTH(I70), 1), 2) + 1 + 5*7 + 5, "")</f>
        <v/>
      </c>
      <c r="H78" s="30">
        <f>IFERROR(DATE($D$1, MONTH(I70), 1) - WEEKDAY(DATE($D$1, MONTH(I70), 1), 2) + 1 + 5*7 + 6, "")</f>
        <v/>
      </c>
      <c r="I78" s="6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8" t="n"/>
      <c r="AN78" s="38" t="n"/>
      <c r="AO78" s="25">
        <f>SUM(J78:AN78)</f>
        <v/>
      </c>
      <c r="AQ78" s="25" t="n"/>
      <c r="AR78" s="25" t="n"/>
      <c r="AS78" s="26" t="n"/>
      <c r="AT78" s="27">
        <f>IF(AS78&gt;0, AO78/AS78, "")</f>
        <v/>
      </c>
    </row>
    <row r="79" hidden="1" s="69">
      <c r="A79" s="39" t="n"/>
      <c r="B79" s="40" t="n"/>
      <c r="C79" s="40" t="n"/>
      <c r="D79" s="40" t="n"/>
      <c r="E79" s="40" t="n"/>
      <c r="F79" s="40" t="n"/>
      <c r="G79" s="40" t="n"/>
      <c r="H79" s="40" t="n"/>
      <c r="I79" s="6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25">
        <f>SUM(J79:AN79)</f>
        <v/>
      </c>
      <c r="AQ79" s="25" t="n"/>
      <c r="AR79" s="25" t="n"/>
      <c r="AS79" s="26" t="n"/>
      <c r="AT79" s="27">
        <f>IF(AS79&gt;0, AO79/AS79, "")</f>
        <v/>
      </c>
    </row>
    <row r="80" hidden="1" s="69">
      <c r="A80" s="39" t="n"/>
      <c r="B80" s="40" t="n"/>
      <c r="C80" s="40" t="n"/>
      <c r="D80" s="40" t="n"/>
      <c r="E80" s="40" t="n"/>
      <c r="F80" s="40" t="n"/>
      <c r="G80" s="40" t="n"/>
      <c r="H80" s="40" t="n"/>
      <c r="I80" s="6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  <c r="AF80" s="38" t="n"/>
      <c r="AG80" s="38" t="n"/>
      <c r="AH80" s="38" t="n"/>
      <c r="AI80" s="38" t="n"/>
      <c r="AJ80" s="38" t="n"/>
      <c r="AK80" s="38" t="n"/>
      <c r="AL80" s="38" t="n"/>
      <c r="AM80" s="38" t="n"/>
      <c r="AN80" s="38" t="n"/>
      <c r="AO80" s="25">
        <f>SUM(J80:AN80)</f>
        <v/>
      </c>
      <c r="AQ80" s="25" t="n"/>
      <c r="AR80" s="25" t="n"/>
      <c r="AS80" s="26" t="n"/>
      <c r="AT80" s="27">
        <f>IF(AS80&gt;0, AO80/AS80, "")</f>
        <v/>
      </c>
    </row>
    <row r="81" hidden="1" s="69">
      <c r="A81" s="39" t="n"/>
      <c r="B81" s="40" t="n"/>
      <c r="C81" s="40" t="n"/>
      <c r="D81" s="40" t="n"/>
      <c r="E81" s="40" t="n"/>
      <c r="F81" s="40" t="n"/>
      <c r="G81" s="40" t="n"/>
      <c r="H81" s="40" t="n"/>
      <c r="I81" s="6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25">
        <f>SUM(J81:AN81)</f>
        <v/>
      </c>
      <c r="AQ81" s="25" t="n"/>
      <c r="AR81" s="25" t="n"/>
      <c r="AS81" s="26" t="n"/>
      <c r="AT81" s="27">
        <f>IF(AS81&gt;0, AO81/AS81, "")</f>
        <v/>
      </c>
    </row>
    <row r="82" hidden="1" s="69">
      <c r="A82" s="39" t="n"/>
      <c r="B82" s="40" t="n"/>
      <c r="C82" s="40" t="n"/>
      <c r="D82" s="40" t="n"/>
      <c r="E82" s="40" t="n"/>
      <c r="F82" s="40" t="n"/>
      <c r="G82" s="40" t="n"/>
      <c r="H82" s="40" t="n"/>
      <c r="I82" s="6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  <c r="AF82" s="38" t="n"/>
      <c r="AG82" s="38" t="n"/>
      <c r="AH82" s="38" t="n"/>
      <c r="AI82" s="38" t="n"/>
      <c r="AJ82" s="38" t="n"/>
      <c r="AK82" s="38" t="n"/>
      <c r="AL82" s="38" t="n"/>
      <c r="AM82" s="38" t="n"/>
      <c r="AN82" s="38" t="n"/>
      <c r="AO82" s="25">
        <f>SUM(J82:AN82)</f>
        <v/>
      </c>
      <c r="AQ82" s="25" t="n"/>
      <c r="AR82" s="25" t="n"/>
      <c r="AS82" s="26" t="n"/>
      <c r="AT82" s="27">
        <f>IF(AS82&gt;0, AO82/AS82, "")</f>
        <v/>
      </c>
    </row>
    <row r="83" hidden="1" s="69">
      <c r="A83" s="39" t="n"/>
      <c r="B83" s="40" t="n"/>
      <c r="C83" s="40" t="n"/>
      <c r="D83" s="40" t="n"/>
      <c r="E83" s="40" t="n"/>
      <c r="F83" s="40" t="n"/>
      <c r="G83" s="40" t="n"/>
      <c r="H83" s="40" t="n"/>
      <c r="I83" s="6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38" t="n"/>
      <c r="AJ83" s="38" t="n"/>
      <c r="AK83" s="38" t="n"/>
      <c r="AL83" s="38" t="n"/>
      <c r="AM83" s="38" t="n"/>
      <c r="AN83" s="38" t="n"/>
      <c r="AO83" s="25">
        <f>SUM(J83:AN83)</f>
        <v/>
      </c>
      <c r="AQ83" s="25" t="n"/>
      <c r="AR83" s="25" t="n"/>
      <c r="AS83" s="26" t="n"/>
      <c r="AT83" s="27">
        <f>IF(AS83&gt;0, AO83/AS83, "")</f>
        <v/>
      </c>
    </row>
    <row r="84" hidden="1" s="69">
      <c r="A84" s="39" t="n"/>
      <c r="B84" s="40" t="n"/>
      <c r="C84" s="40" t="n"/>
      <c r="D84" s="40" t="n"/>
      <c r="E84" s="40" t="n"/>
      <c r="F84" s="40" t="n"/>
      <c r="G84" s="40" t="n"/>
      <c r="H84" s="40" t="n"/>
      <c r="I84" s="6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8" t="n"/>
      <c r="AN84" s="38" t="n"/>
      <c r="AO84" s="25">
        <f>SUM(J84:AN84)</f>
        <v/>
      </c>
      <c r="AQ84" s="25" t="n"/>
      <c r="AR84" s="25" t="n"/>
      <c r="AS84" s="26" t="n"/>
      <c r="AT84" s="27">
        <f>IF(AS84&gt;0, AO84/AS84, "")</f>
        <v/>
      </c>
    </row>
    <row r="85" hidden="1" s="69">
      <c r="A85" s="39" t="n"/>
      <c r="B85" s="40" t="n"/>
      <c r="C85" s="40" t="n"/>
      <c r="D85" s="40" t="n"/>
      <c r="E85" s="40" t="n"/>
      <c r="F85" s="40" t="n"/>
      <c r="G85" s="40" t="n"/>
      <c r="H85" s="40" t="n"/>
      <c r="I85" s="6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25">
        <f>SUM(J85:AN85)</f>
        <v/>
      </c>
      <c r="AQ85" s="25" t="n"/>
      <c r="AR85" s="25" t="n"/>
      <c r="AS85" s="26" t="n"/>
      <c r="AT85" s="27">
        <f>IF(AS85&gt;0, AO85/AS85, "")</f>
        <v/>
      </c>
    </row>
    <row r="86" hidden="1" s="69">
      <c r="A86" s="39" t="n"/>
      <c r="B86" s="40" t="n"/>
      <c r="C86" s="40" t="n"/>
      <c r="D86" s="40" t="n"/>
      <c r="E86" s="40" t="n"/>
      <c r="F86" s="40" t="n"/>
      <c r="G86" s="40" t="n"/>
      <c r="H86" s="40" t="n"/>
      <c r="I86" s="6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25">
        <f>SUM(J86:AN86)</f>
        <v/>
      </c>
      <c r="AQ86" s="25" t="n"/>
      <c r="AR86" s="25" t="n"/>
      <c r="AS86" s="26" t="n"/>
      <c r="AT86" s="27">
        <f>IF(AS86&gt;0, AO86/AS86, "")</f>
        <v/>
      </c>
    </row>
    <row r="87" hidden="1" s="69">
      <c r="A87" s="39" t="n"/>
      <c r="B87" s="40" t="n"/>
      <c r="C87" s="40" t="n"/>
      <c r="D87" s="40" t="n"/>
      <c r="E87" s="40" t="n"/>
      <c r="F87" s="40" t="n"/>
      <c r="G87" s="40" t="n"/>
      <c r="H87" s="40" t="n"/>
      <c r="I87" s="6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8" t="n"/>
      <c r="AO87" s="25">
        <f>SUM(J87:AN87)</f>
        <v/>
      </c>
      <c r="AQ87" s="25" t="n"/>
      <c r="AR87" s="25" t="n"/>
      <c r="AS87" s="26" t="n"/>
      <c r="AT87" s="27">
        <f>IF(AS87&gt;0, AO87/AS87, "")</f>
        <v/>
      </c>
    </row>
    <row r="88" hidden="1" s="69">
      <c r="A88" s="39" t="n"/>
      <c r="B88" s="40" t="n"/>
      <c r="C88" s="40" t="n"/>
      <c r="D88" s="40" t="n"/>
      <c r="E88" s="40" t="n"/>
      <c r="F88" s="40" t="n"/>
      <c r="G88" s="40" t="n"/>
      <c r="H88" s="40" t="n"/>
      <c r="I88" s="6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25">
        <f>SUM(J88:AN88)</f>
        <v/>
      </c>
      <c r="AQ88" s="25" t="n"/>
      <c r="AR88" s="25" t="n"/>
      <c r="AS88" s="26" t="n"/>
      <c r="AT88" s="27">
        <f>IF(AS88&gt;0, AO88/AS88, "")</f>
        <v/>
      </c>
    </row>
    <row r="89" hidden="1" s="69">
      <c r="A89" s="39" t="n"/>
      <c r="B89" s="40" t="n"/>
      <c r="C89" s="40" t="n"/>
      <c r="D89" s="40" t="n"/>
      <c r="E89" s="40" t="n"/>
      <c r="F89" s="40" t="n"/>
      <c r="G89" s="40" t="n"/>
      <c r="H89" s="40" t="n"/>
      <c r="I89" s="6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n"/>
      <c r="AM89" s="38" t="n"/>
      <c r="AN89" s="38" t="n"/>
      <c r="AO89" s="25">
        <f>SUM(J89:AN89)</f>
        <v/>
      </c>
      <c r="AQ89" s="25" t="n"/>
      <c r="AR89" s="25" t="n"/>
      <c r="AS89" s="26" t="n"/>
      <c r="AT89" s="27">
        <f>IF(AS89&gt;0, AO89/AS89, "")</f>
        <v/>
      </c>
    </row>
    <row r="90" hidden="1" s="69">
      <c r="A90" s="39" t="n"/>
      <c r="B90" s="40" t="n"/>
      <c r="C90" s="40" t="n"/>
      <c r="D90" s="40" t="n"/>
      <c r="E90" s="40" t="n"/>
      <c r="F90" s="40" t="n"/>
      <c r="G90" s="40" t="n"/>
      <c r="H90" s="40" t="n"/>
      <c r="I90" s="6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  <c r="AL90" s="38" t="n"/>
      <c r="AM90" s="38" t="n"/>
      <c r="AN90" s="38" t="n"/>
      <c r="AO90" s="25">
        <f>SUM(J90:AN90)</f>
        <v/>
      </c>
      <c r="AQ90" s="25" t="n"/>
      <c r="AR90" s="25" t="n"/>
      <c r="AS90" s="26" t="n"/>
      <c r="AT90" s="27">
        <f>IF(AS90&gt;0, AO90/AS90, "")</f>
        <v/>
      </c>
    </row>
    <row r="91" hidden="1" s="69">
      <c r="A91" s="39" t="n"/>
      <c r="B91" s="40" t="n"/>
      <c r="C91" s="40" t="n"/>
      <c r="D91" s="40" t="n"/>
      <c r="E91" s="40" t="n"/>
      <c r="F91" s="40" t="n"/>
      <c r="G91" s="40" t="n"/>
      <c r="H91" s="40" t="n"/>
      <c r="I91" s="6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25">
        <f>SUM(J91:AN91)</f>
        <v/>
      </c>
      <c r="AQ91" s="25" t="n"/>
      <c r="AR91" s="25" t="n"/>
      <c r="AS91" s="26" t="n"/>
      <c r="AT91" s="27">
        <f>IF(AS91&gt;0, AO91/AS91, "")</f>
        <v/>
      </c>
    </row>
    <row r="92">
      <c r="A92" s="38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Q92" s="38" t="n"/>
      <c r="AR92" s="38" t="n"/>
      <c r="AS92" s="38" t="n"/>
      <c r="AT92" s="38" t="n"/>
    </row>
    <row r="93">
      <c r="A93" s="13" t="inlineStr">
        <is>
          <t>🥾</t>
        </is>
      </c>
      <c r="B93" s="13" t="inlineStr">
        <is>
          <t>MAY</t>
        </is>
      </c>
      <c r="I93" s="70">
        <f>DATE($D$1,5,1)</f>
        <v/>
      </c>
      <c r="J93" s="16">
        <f>I93</f>
        <v/>
      </c>
      <c r="K93" s="16">
        <f>J93+1</f>
        <v/>
      </c>
      <c r="L93" s="16">
        <f>K93+1</f>
        <v/>
      </c>
      <c r="M93" s="16">
        <f>L93+1</f>
        <v/>
      </c>
      <c r="N93" s="16">
        <f>M93+1</f>
        <v/>
      </c>
      <c r="O93" s="16">
        <f>N93+1</f>
        <v/>
      </c>
      <c r="P93" s="16">
        <f>O93+1</f>
        <v/>
      </c>
      <c r="Q93" s="16">
        <f>P93+1</f>
        <v/>
      </c>
      <c r="R93" s="16">
        <f>Q93+1</f>
        <v/>
      </c>
      <c r="S93" s="16">
        <f>R93+1</f>
        <v/>
      </c>
      <c r="T93" s="16">
        <f>S93+1</f>
        <v/>
      </c>
      <c r="U93" s="16">
        <f>T93+1</f>
        <v/>
      </c>
      <c r="V93" s="16">
        <f>U93+1</f>
        <v/>
      </c>
      <c r="W93" s="16">
        <f>V93+1</f>
        <v/>
      </c>
      <c r="X93" s="16">
        <f>W93+1</f>
        <v/>
      </c>
      <c r="Y93" s="16">
        <f>X93+1</f>
        <v/>
      </c>
      <c r="Z93" s="16">
        <f>Y93+1</f>
        <v/>
      </c>
      <c r="AA93" s="16">
        <f>Z93+1</f>
        <v/>
      </c>
      <c r="AB93" s="16">
        <f>AA93+1</f>
        <v/>
      </c>
      <c r="AC93" s="16">
        <f>AB93+1</f>
        <v/>
      </c>
      <c r="AD93" s="16">
        <f>AC93+1</f>
        <v/>
      </c>
      <c r="AE93" s="16">
        <f>AD93+1</f>
        <v/>
      </c>
      <c r="AF93" s="16">
        <f>AE93+1</f>
        <v/>
      </c>
      <c r="AG93" s="16">
        <f>AF93+1</f>
        <v/>
      </c>
      <c r="AH93" s="16">
        <f>AG93+1</f>
        <v/>
      </c>
      <c r="AI93" s="16">
        <f>AH93+1</f>
        <v/>
      </c>
      <c r="AJ93" s="16">
        <f>AI93+1</f>
        <v/>
      </c>
      <c r="AK93" s="16">
        <f>AJ93+1</f>
        <v/>
      </c>
      <c r="AL93" s="16">
        <f>AK93+1</f>
        <v/>
      </c>
      <c r="AM93" s="16">
        <f>AL93+1</f>
        <v/>
      </c>
      <c r="AN93" s="16">
        <f>AM93+1</f>
        <v/>
      </c>
      <c r="AO93" s="17" t="inlineStr">
        <is>
          <t>TOTAL</t>
        </is>
      </c>
      <c r="AQ93" s="18" t="inlineStr">
        <is>
          <t>current streak 🔥</t>
        </is>
      </c>
      <c r="AR93" s="18" t="inlineStr">
        <is>
          <t>longest streak😼</t>
        </is>
      </c>
      <c r="AS93" s="18" t="inlineStr">
        <is>
          <t>Goal🔢</t>
        </is>
      </c>
      <c r="AT93" s="18" t="inlineStr">
        <is>
          <t>Progress
📈</t>
        </is>
      </c>
    </row>
    <row r="94" ht="15" customHeight="1" s="69">
      <c r="A94" s="34" t="n"/>
      <c r="B94" s="34" t="n"/>
      <c r="I94" s="35" t="n"/>
      <c r="J94" s="36">
        <f>J93</f>
        <v/>
      </c>
      <c r="K94" s="36">
        <f>K93</f>
        <v/>
      </c>
      <c r="L94" s="36">
        <f>L93</f>
        <v/>
      </c>
      <c r="M94" s="36">
        <f>M93</f>
        <v/>
      </c>
      <c r="N94" s="36">
        <f>N93</f>
        <v/>
      </c>
      <c r="O94" s="36">
        <f>O93</f>
        <v/>
      </c>
      <c r="P94" s="36">
        <f>P93</f>
        <v/>
      </c>
      <c r="Q94" s="36">
        <f>Q93</f>
        <v/>
      </c>
      <c r="R94" s="36">
        <f>R93</f>
        <v/>
      </c>
      <c r="S94" s="36">
        <f>S93</f>
        <v/>
      </c>
      <c r="T94" s="36">
        <f>T93</f>
        <v/>
      </c>
      <c r="U94" s="36">
        <f>U93</f>
        <v/>
      </c>
      <c r="V94" s="36">
        <f>V93</f>
        <v/>
      </c>
      <c r="W94" s="36">
        <f>W93</f>
        <v/>
      </c>
      <c r="X94" s="36">
        <f>X93</f>
        <v/>
      </c>
      <c r="Y94" s="36">
        <f>Y93</f>
        <v/>
      </c>
      <c r="Z94" s="36">
        <f>Z93</f>
        <v/>
      </c>
      <c r="AA94" s="36">
        <f>AA93</f>
        <v/>
      </c>
      <c r="AB94" s="36">
        <f>AB93</f>
        <v/>
      </c>
      <c r="AC94" s="36">
        <f>AC93</f>
        <v/>
      </c>
      <c r="AD94" s="36">
        <f>AD93</f>
        <v/>
      </c>
      <c r="AE94" s="36">
        <f>AE93</f>
        <v/>
      </c>
      <c r="AF94" s="36">
        <f>AF93</f>
        <v/>
      </c>
      <c r="AG94" s="36">
        <f>AG93</f>
        <v/>
      </c>
      <c r="AH94" s="36">
        <f>AH93</f>
        <v/>
      </c>
      <c r="AI94" s="36">
        <f>AI93</f>
        <v/>
      </c>
      <c r="AJ94" s="36">
        <f>AJ93</f>
        <v/>
      </c>
      <c r="AK94" s="36">
        <f>AK93</f>
        <v/>
      </c>
      <c r="AL94" s="36">
        <f>AL93</f>
        <v/>
      </c>
      <c r="AM94" s="36">
        <f>AM93</f>
        <v/>
      </c>
      <c r="AN94" s="36">
        <f>AN93</f>
        <v/>
      </c>
    </row>
    <row r="95">
      <c r="A95" s="22" t="n"/>
      <c r="B95" s="52" t="inlineStr">
        <is>
          <t>Пн</t>
        </is>
      </c>
      <c r="C95" s="52" t="inlineStr">
        <is>
          <t>Вт</t>
        </is>
      </c>
      <c r="D95" s="52" t="inlineStr">
        <is>
          <t>Ср</t>
        </is>
      </c>
      <c r="E95" s="52" t="inlineStr">
        <is>
          <t>Чт</t>
        </is>
      </c>
      <c r="F95" s="52" t="inlineStr">
        <is>
          <t>Пт</t>
        </is>
      </c>
      <c r="G95" s="52" t="inlineStr">
        <is>
          <t>Сб</t>
        </is>
      </c>
      <c r="H95" s="52" t="inlineStr">
        <is>
          <t>Вс</t>
        </is>
      </c>
      <c r="I95" s="6">
        <f>ARRAYFORMULA(Setup!B3:B22)</f>
        <v/>
      </c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n"/>
      <c r="AM95" s="38" t="n"/>
      <c r="AN95" s="38" t="n"/>
      <c r="AO95" s="25">
        <f>SUM(J95:AN95)</f>
        <v/>
      </c>
      <c r="AQ95" s="25" t="n"/>
      <c r="AR95" s="25" t="n"/>
      <c r="AS95" s="26" t="n"/>
      <c r="AT95" s="27">
        <f>IF(AS95&gt;0, AO95/AS95, "")</f>
        <v/>
      </c>
    </row>
    <row r="96">
      <c r="A96" s="28">
        <f>WEEKNUM(B96,2)</f>
        <v/>
      </c>
      <c r="B96" s="29">
        <f>IFERROR(DATE($D$1, MONTH(I93), 1) - WEEKDAY(DATE($D$1, MONTH(I93), 1), 2) + 1 + 0*7 + 0, "")</f>
        <v/>
      </c>
      <c r="C96" s="30">
        <f>IFERROR(DATE($D$1, MONTH(I93), 1) - WEEKDAY(DATE($D$1, MONTH(I93), 1), 2) + 1 + 0*7 + 1, "")</f>
        <v/>
      </c>
      <c r="D96" s="30">
        <f>IFERROR(DATE($D$1, MONTH(I93), 1) - WEEKDAY(DATE($D$1, MONTH(I93), 1), 2) + 1 + 0*7 + 2, "")</f>
        <v/>
      </c>
      <c r="E96" s="30">
        <f>IFERROR(DATE($D$1, MONTH(I93), 1) - WEEKDAY(DATE($D$1, MONTH(I93), 1), 2) + 1 + 0*7 + 3, "")</f>
        <v/>
      </c>
      <c r="F96" s="30">
        <f>IFERROR(DATE($D$1, MONTH(I93), 1) - WEEKDAY(DATE($D$1, MONTH(I93), 1), 2) + 1 + 0*7 + 4, "")</f>
        <v/>
      </c>
      <c r="G96" s="30">
        <f>IFERROR(DATE($D$1, MONTH(I93), 1) - WEEKDAY(DATE($D$1, MONTH(I93), 1), 2) + 1 + 0*7 + 5, "")</f>
        <v/>
      </c>
      <c r="H96" s="30">
        <f>IFERROR(DATE($D$1, MONTH(I93), 1) - WEEKDAY(DATE($D$1, MONTH(I93), 1), 2) + 1 + 0*7 + 6, "")</f>
        <v/>
      </c>
      <c r="I96" s="6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25">
        <f>SUM(J96:AN96)</f>
        <v/>
      </c>
      <c r="AQ96" s="25" t="n"/>
      <c r="AR96" s="25" t="n"/>
      <c r="AS96" s="26" t="n"/>
      <c r="AT96" s="27">
        <f>IF(AS96&gt;0, AO96/AS96, "")</f>
        <v/>
      </c>
    </row>
    <row r="97">
      <c r="A97" s="31">
        <f>WEEKNUM(B97,2)</f>
        <v/>
      </c>
      <c r="B97" s="30">
        <f>IFERROR(DATE($D$1, MONTH(I93), 1) - WEEKDAY(DATE($D$1, MONTH(I93), 1), 2) + 1 + 1*7 + 0, "")</f>
        <v/>
      </c>
      <c r="C97" s="30">
        <f>IFERROR(DATE($D$1, MONTH(I93), 1) - WEEKDAY(DATE($D$1, MONTH(I93), 1), 2) + 1 + 1*7 + 1, "")</f>
        <v/>
      </c>
      <c r="D97" s="30">
        <f>IFERROR(DATE($D$1, MONTH(I93), 1) - WEEKDAY(DATE($D$1, MONTH(I93), 1), 2) + 1 + 1*7 + 2, "")</f>
        <v/>
      </c>
      <c r="E97" s="30">
        <f>IFERROR(DATE($D$1, MONTH(I93), 1) - WEEKDAY(DATE($D$1, MONTH(I93), 1), 2) + 1 + 1*7 + 3, "")</f>
        <v/>
      </c>
      <c r="F97" s="30">
        <f>IFERROR(DATE($D$1, MONTH(I93), 1) - WEEKDAY(DATE($D$1, MONTH(I93), 1), 2) + 1 + 1*7 + 4, "")</f>
        <v/>
      </c>
      <c r="G97" s="30">
        <f>IFERROR(DATE($D$1, MONTH(I93), 1) - WEEKDAY(DATE($D$1, MONTH(I93), 1), 2) + 1 + 1*7 + 5, "")</f>
        <v/>
      </c>
      <c r="H97" s="30">
        <f>IFERROR(DATE($D$1, MONTH(I93), 1) - WEEKDAY(DATE($D$1, MONTH(I93), 1), 2) + 1 + 1*7 + 6, "")</f>
        <v/>
      </c>
      <c r="I97" s="6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n"/>
      <c r="AM97" s="38" t="n"/>
      <c r="AN97" s="38" t="n"/>
      <c r="AO97" s="25">
        <f>SUM(J97:AN97)</f>
        <v/>
      </c>
      <c r="AQ97" s="25" t="n"/>
      <c r="AR97" s="25" t="n"/>
      <c r="AS97" s="26" t="n"/>
      <c r="AT97" s="27">
        <f>IF(AS97&gt;0, AO97/AS97, "")</f>
        <v/>
      </c>
    </row>
    <row r="98">
      <c r="A98" s="31">
        <f>WEEKNUM(B98,2)</f>
        <v/>
      </c>
      <c r="B98" s="30">
        <f>IFERROR(DATE($D$1, MONTH(I93), 1) - WEEKDAY(DATE($D$1, MONTH(I93), 1), 2) + 1 + 2*7 + 0, "")</f>
        <v/>
      </c>
      <c r="C98" s="30">
        <f>IFERROR(DATE($D$1, MONTH(I93), 1) - WEEKDAY(DATE($D$1, MONTH(I93), 1), 2) + 1 + 2*7 + 1, "")</f>
        <v/>
      </c>
      <c r="D98" s="30">
        <f>IFERROR(DATE($D$1, MONTH(I93), 1) - WEEKDAY(DATE($D$1, MONTH(I93), 1), 2) + 1 + 2*7 + 2, "")</f>
        <v/>
      </c>
      <c r="E98" s="30">
        <f>IFERROR(DATE($D$1, MONTH(I93), 1) - WEEKDAY(DATE($D$1, MONTH(I93), 1), 2) + 1 + 2*7 + 3, "")</f>
        <v/>
      </c>
      <c r="F98" s="30">
        <f>IFERROR(DATE($D$1, MONTH(I93), 1) - WEEKDAY(DATE($D$1, MONTH(I93), 1), 2) + 1 + 2*7 + 4, "")</f>
        <v/>
      </c>
      <c r="G98" s="30">
        <f>IFERROR(DATE($D$1, MONTH(I93), 1) - WEEKDAY(DATE($D$1, MONTH(I93), 1), 2) + 1 + 2*7 + 5, "")</f>
        <v/>
      </c>
      <c r="H98" s="30">
        <f>IFERROR(DATE($D$1, MONTH(I93), 1) - WEEKDAY(DATE($D$1, MONTH(I93), 1), 2) + 1 + 2*7 + 6, "")</f>
        <v/>
      </c>
      <c r="I98" s="6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  <c r="AF98" s="38" t="n"/>
      <c r="AG98" s="38" t="n"/>
      <c r="AH98" s="38" t="n"/>
      <c r="AI98" s="38" t="n"/>
      <c r="AJ98" s="38" t="n"/>
      <c r="AK98" s="38" t="n"/>
      <c r="AL98" s="38" t="n"/>
      <c r="AM98" s="38" t="n"/>
      <c r="AN98" s="38" t="n"/>
      <c r="AO98" s="25">
        <f>SUM(J98:AN98)</f>
        <v/>
      </c>
      <c r="AQ98" s="25" t="n"/>
      <c r="AR98" s="25" t="n"/>
      <c r="AS98" s="26" t="n"/>
      <c r="AT98" s="27">
        <f>IF(AS98&gt;0, AO98/AS98, "")</f>
        <v/>
      </c>
    </row>
    <row r="99">
      <c r="A99" s="31">
        <f>WEEKNUM(B99,2)</f>
        <v/>
      </c>
      <c r="B99" s="30">
        <f>IFERROR(DATE($D$1, MONTH(I93), 1) - WEEKDAY(DATE($D$1, MONTH(I93), 1), 2) + 1 + 3*7 + 0, "")</f>
        <v/>
      </c>
      <c r="C99" s="30">
        <f>IFERROR(DATE($D$1, MONTH(I93), 1) - WEEKDAY(DATE($D$1, MONTH(I93), 1), 2) + 1 + 3*7 + 1, "")</f>
        <v/>
      </c>
      <c r="D99" s="30">
        <f>IFERROR(DATE($D$1, MONTH(I93), 1) - WEEKDAY(DATE($D$1, MONTH(I93), 1), 2) + 1 + 3*7 + 2, "")</f>
        <v/>
      </c>
      <c r="E99" s="30">
        <f>IFERROR(DATE($D$1, MONTH(I93), 1) - WEEKDAY(DATE($D$1, MONTH(I93), 1), 2) + 1 + 3*7 + 3, "")</f>
        <v/>
      </c>
      <c r="F99" s="30">
        <f>IFERROR(DATE($D$1, MONTH(I93), 1) - WEEKDAY(DATE($D$1, MONTH(I93), 1), 2) + 1 + 3*7 + 4, "")</f>
        <v/>
      </c>
      <c r="G99" s="30">
        <f>IFERROR(DATE($D$1, MONTH(I93), 1) - WEEKDAY(DATE($D$1, MONTH(I93), 1), 2) + 1 + 3*7 + 5, "")</f>
        <v/>
      </c>
      <c r="H99" s="30">
        <f>IFERROR(DATE($D$1, MONTH(I93), 1) - WEEKDAY(DATE($D$1, MONTH(I93), 1), 2) + 1 + 3*7 + 6, "")</f>
        <v/>
      </c>
      <c r="I99" s="6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n"/>
      <c r="AM99" s="38" t="n"/>
      <c r="AN99" s="38" t="n"/>
      <c r="AO99" s="25">
        <f>SUM(J99:AN99)</f>
        <v/>
      </c>
      <c r="AQ99" s="25" t="n"/>
      <c r="AR99" s="25" t="n"/>
      <c r="AS99" s="26" t="n"/>
      <c r="AT99" s="27">
        <f>IF(AS99&gt;0, AO99/AS99, "")</f>
        <v/>
      </c>
    </row>
    <row r="100">
      <c r="A100" s="31">
        <f>WEEKNUM(B100,2)</f>
        <v/>
      </c>
      <c r="B100" s="30">
        <f>IFERROR(DATE($D$1, MONTH(I93), 1) - WEEKDAY(DATE($D$1, MONTH(I93), 1), 2) + 1 + 4*7 + 0, "")</f>
        <v/>
      </c>
      <c r="C100" s="30">
        <f>IFERROR(DATE($D$1, MONTH(I93), 1) - WEEKDAY(DATE($D$1, MONTH(I93), 1), 2) + 1 + 4*7 + 1, "")</f>
        <v/>
      </c>
      <c r="D100" s="30">
        <f>IFERROR(DATE($D$1, MONTH(I93), 1) - WEEKDAY(DATE($D$1, MONTH(I93), 1), 2) + 1 + 4*7 + 2, "")</f>
        <v/>
      </c>
      <c r="E100" s="30">
        <f>IFERROR(DATE($D$1, MONTH(I93), 1) - WEEKDAY(DATE($D$1, MONTH(I93), 1), 2) + 1 + 4*7 + 3, "")</f>
        <v/>
      </c>
      <c r="F100" s="30">
        <f>IFERROR(DATE($D$1, MONTH(I93), 1) - WEEKDAY(DATE($D$1, MONTH(I93), 1), 2) + 1 + 4*7 + 4, "")</f>
        <v/>
      </c>
      <c r="G100" s="30">
        <f>IFERROR(DATE($D$1, MONTH(I93), 1) - WEEKDAY(DATE($D$1, MONTH(I93), 1), 2) + 1 + 4*7 + 5, "")</f>
        <v/>
      </c>
      <c r="H100" s="30">
        <f>IFERROR(DATE($D$1, MONTH(I93), 1) - WEEKDAY(DATE($D$1, MONTH(I93), 1), 2) + 1 + 4*7 + 6, "")</f>
        <v/>
      </c>
      <c r="I100" s="6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  <c r="AF100" s="38" t="n"/>
      <c r="AG100" s="38" t="n"/>
      <c r="AH100" s="38" t="n"/>
      <c r="AI100" s="38" t="n"/>
      <c r="AJ100" s="38" t="n"/>
      <c r="AK100" s="38" t="n"/>
      <c r="AL100" s="38" t="n"/>
      <c r="AM100" s="38" t="n"/>
      <c r="AN100" s="38" t="n"/>
      <c r="AO100" s="25">
        <f>SUM(J100:AN100)</f>
        <v/>
      </c>
      <c r="AQ100" s="25" t="n"/>
      <c r="AR100" s="25" t="n"/>
      <c r="AS100" s="26" t="n"/>
      <c r="AT100" s="27">
        <f>IF(AS100&gt;0, AO100/AS100, "")</f>
        <v/>
      </c>
    </row>
    <row r="101">
      <c r="A101" s="31">
        <f>WEEKNUM(B101,2)</f>
        <v/>
      </c>
      <c r="B101" s="30">
        <f>IFERROR(DATE($D$1, MONTH(I93), 1) - WEEKDAY(DATE($D$1, MONTH(I93), 1), 2) + 1 + 5*7 + 0, "")</f>
        <v/>
      </c>
      <c r="C101" s="30">
        <f>IFERROR(DATE($D$1, MONTH(I93), 1) - WEEKDAY(DATE($D$1, MONTH(I93), 1), 2) + 1 + 5*7 + 1, "")</f>
        <v/>
      </c>
      <c r="D101" s="30">
        <f>IFERROR(DATE($D$1, MONTH(I93), 1) - WEEKDAY(DATE($D$1, MONTH(I93), 1), 2) + 1 + 5*7 + 2, "")</f>
        <v/>
      </c>
      <c r="E101" s="30">
        <f>IFERROR(DATE($D$1, MONTH(I93), 1) - WEEKDAY(DATE($D$1, MONTH(I93), 1), 2) + 1 + 5*7 + 3, "")</f>
        <v/>
      </c>
      <c r="F101" s="30">
        <f>IFERROR(DATE($D$1, MONTH(I93), 1) - WEEKDAY(DATE($D$1, MONTH(I93), 1), 2) + 1 + 5*7 + 4, "")</f>
        <v/>
      </c>
      <c r="G101" s="30">
        <f>IFERROR(DATE($D$1, MONTH(I93), 1) - WEEKDAY(DATE($D$1, MONTH(I93), 1), 2) + 1 + 5*7 + 5, "")</f>
        <v/>
      </c>
      <c r="H101" s="30">
        <f>IFERROR(DATE($D$1, MONTH(I93), 1) - WEEKDAY(DATE($D$1, MONTH(I93), 1), 2) + 1 + 5*7 + 6, "")</f>
        <v/>
      </c>
      <c r="I101" s="6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n"/>
      <c r="AM101" s="38" t="n"/>
      <c r="AN101" s="38" t="n"/>
      <c r="AO101" s="25">
        <f>SUM(J101:AN101)</f>
        <v/>
      </c>
      <c r="AQ101" s="25" t="n"/>
      <c r="AR101" s="25" t="n"/>
      <c r="AS101" s="26" t="n"/>
      <c r="AT101" s="27">
        <f>IF(AS101&gt;0, AO101/AS101, "")</f>
        <v/>
      </c>
    </row>
    <row r="102" hidden="1" s="69">
      <c r="A102" s="39" t="n"/>
      <c r="B102" s="40" t="n"/>
      <c r="C102" s="40" t="n"/>
      <c r="D102" s="40" t="n"/>
      <c r="E102" s="41" t="n"/>
      <c r="F102" s="41" t="n"/>
      <c r="G102" s="41" t="n"/>
      <c r="H102" s="41" t="n"/>
      <c r="I102" s="6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25">
        <f>SUM(J102:AN102)</f>
        <v/>
      </c>
      <c r="AQ102" s="25" t="n"/>
      <c r="AR102" s="25" t="n"/>
      <c r="AS102" s="26" t="n"/>
      <c r="AT102" s="27">
        <f>IF(AS102&gt;0, AO102/AS102, "")</f>
        <v/>
      </c>
    </row>
    <row r="103" hidden="1" s="69">
      <c r="A103" s="39" t="n"/>
      <c r="B103" s="40" t="n"/>
      <c r="C103" s="40" t="n"/>
      <c r="D103" s="40" t="n"/>
      <c r="E103" s="41" t="n"/>
      <c r="F103" s="41" t="n"/>
      <c r="G103" s="41" t="n"/>
      <c r="H103" s="41" t="n"/>
      <c r="I103" s="6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n"/>
      <c r="AM103" s="38" t="n"/>
      <c r="AN103" s="38" t="n"/>
      <c r="AO103" s="25">
        <f>SUM(J103:AN103)</f>
        <v/>
      </c>
      <c r="AQ103" s="25" t="n"/>
      <c r="AR103" s="25" t="n"/>
      <c r="AS103" s="26" t="n"/>
      <c r="AT103" s="27">
        <f>IF(AS103&gt;0, AO103/AS103, "")</f>
        <v/>
      </c>
    </row>
    <row r="104" hidden="1" s="69">
      <c r="A104" s="39" t="n"/>
      <c r="B104" s="40" t="n"/>
      <c r="C104" s="40" t="n"/>
      <c r="D104" s="40" t="n"/>
      <c r="E104" s="41" t="n"/>
      <c r="F104" s="41" t="n"/>
      <c r="G104" s="41" t="n"/>
      <c r="H104" s="41" t="n"/>
      <c r="I104" s="6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  <c r="AF104" s="38" t="n"/>
      <c r="AG104" s="38" t="n"/>
      <c r="AH104" s="38" t="n"/>
      <c r="AI104" s="38" t="n"/>
      <c r="AJ104" s="38" t="n"/>
      <c r="AK104" s="38" t="n"/>
      <c r="AL104" s="38" t="n"/>
      <c r="AM104" s="38" t="n"/>
      <c r="AN104" s="38" t="n"/>
      <c r="AO104" s="25">
        <f>SUM(J104:AN104)</f>
        <v/>
      </c>
      <c r="AQ104" s="25" t="n"/>
      <c r="AR104" s="25" t="n"/>
      <c r="AS104" s="26" t="n"/>
      <c r="AT104" s="27">
        <f>IF(AS104&gt;0, AO104/AS104, "")</f>
        <v/>
      </c>
    </row>
    <row r="105" hidden="1" s="69">
      <c r="A105" s="39" t="n"/>
      <c r="B105" s="40" t="n"/>
      <c r="C105" s="40" t="n"/>
      <c r="D105" s="40" t="n"/>
      <c r="E105" s="41" t="n"/>
      <c r="F105" s="41" t="n"/>
      <c r="G105" s="41" t="n"/>
      <c r="H105" s="41" t="n"/>
      <c r="I105" s="6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25">
        <f>SUM(J105:AN105)</f>
        <v/>
      </c>
      <c r="AQ105" s="25" t="n"/>
      <c r="AR105" s="25" t="n"/>
      <c r="AS105" s="26" t="n"/>
      <c r="AT105" s="27">
        <f>IF(AS105&gt;0, AO105/AS105, "")</f>
        <v/>
      </c>
    </row>
    <row r="106" hidden="1" s="69">
      <c r="A106" s="39" t="n"/>
      <c r="B106" s="40" t="n"/>
      <c r="C106" s="40" t="n"/>
      <c r="D106" s="40" t="n"/>
      <c r="E106" s="41" t="n"/>
      <c r="F106" s="41" t="n"/>
      <c r="G106" s="41" t="n"/>
      <c r="H106" s="41" t="n"/>
      <c r="I106" s="6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  <c r="AF106" s="38" t="n"/>
      <c r="AG106" s="38" t="n"/>
      <c r="AH106" s="38" t="n"/>
      <c r="AI106" s="38" t="n"/>
      <c r="AJ106" s="38" t="n"/>
      <c r="AK106" s="38" t="n"/>
      <c r="AL106" s="38" t="n"/>
      <c r="AM106" s="38" t="n"/>
      <c r="AN106" s="38" t="n"/>
      <c r="AO106" s="25">
        <f>SUM(J106:AN106)</f>
        <v/>
      </c>
      <c r="AQ106" s="25" t="n"/>
      <c r="AR106" s="25" t="n"/>
      <c r="AS106" s="26" t="n"/>
      <c r="AT106" s="27">
        <f>IF(AS106&gt;0, AO106/AS106, "")</f>
        <v/>
      </c>
    </row>
    <row r="107" hidden="1" s="69">
      <c r="A107" s="39" t="n"/>
      <c r="B107" s="40" t="n"/>
      <c r="C107" s="40" t="n"/>
      <c r="D107" s="40" t="n"/>
      <c r="E107" s="41" t="n"/>
      <c r="F107" s="41" t="n"/>
      <c r="G107" s="41" t="n"/>
      <c r="H107" s="41" t="n"/>
      <c r="I107" s="6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n"/>
      <c r="AM107" s="38" t="n"/>
      <c r="AN107" s="38" t="n"/>
      <c r="AO107" s="25">
        <f>SUM(J107:AN107)</f>
        <v/>
      </c>
      <c r="AQ107" s="25" t="n"/>
      <c r="AR107" s="25" t="n"/>
      <c r="AS107" s="26" t="n"/>
      <c r="AT107" s="27">
        <f>IF(AS107&gt;0, AO107/AS107, "")</f>
        <v/>
      </c>
    </row>
    <row r="108" hidden="1" s="69">
      <c r="A108" s="39" t="n"/>
      <c r="B108" s="40" t="n"/>
      <c r="C108" s="40" t="n"/>
      <c r="D108" s="40" t="n"/>
      <c r="E108" s="41" t="n"/>
      <c r="F108" s="41" t="n"/>
      <c r="G108" s="41" t="n"/>
      <c r="H108" s="41" t="n"/>
      <c r="I108" s="6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  <c r="AF108" s="38" t="n"/>
      <c r="AG108" s="38" t="n"/>
      <c r="AH108" s="38" t="n"/>
      <c r="AI108" s="38" t="n"/>
      <c r="AJ108" s="38" t="n"/>
      <c r="AK108" s="38" t="n"/>
      <c r="AL108" s="38" t="n"/>
      <c r="AM108" s="38" t="n"/>
      <c r="AN108" s="38" t="n"/>
      <c r="AO108" s="25">
        <f>SUM(J108:AN108)</f>
        <v/>
      </c>
      <c r="AQ108" s="25" t="n"/>
      <c r="AR108" s="25" t="n"/>
      <c r="AS108" s="26" t="n"/>
      <c r="AT108" s="27">
        <f>IF(AS108&gt;0, AO108/AS108, "")</f>
        <v/>
      </c>
    </row>
    <row r="109" hidden="1" s="69">
      <c r="A109" s="39" t="n"/>
      <c r="B109" s="40" t="n"/>
      <c r="C109" s="40" t="n"/>
      <c r="D109" s="40" t="n"/>
      <c r="E109" s="41" t="n"/>
      <c r="F109" s="41" t="n"/>
      <c r="G109" s="41" t="n"/>
      <c r="H109" s="41" t="n"/>
      <c r="I109" s="6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n"/>
      <c r="AM109" s="38" t="n"/>
      <c r="AN109" s="38" t="n"/>
      <c r="AO109" s="25">
        <f>SUM(J109:AN109)</f>
        <v/>
      </c>
      <c r="AQ109" s="25" t="n"/>
      <c r="AR109" s="25" t="n"/>
      <c r="AS109" s="26" t="n"/>
      <c r="AT109" s="27">
        <f>IF(AS109&gt;0, AO109/AS109, "")</f>
        <v/>
      </c>
    </row>
    <row r="110" hidden="1" s="69">
      <c r="A110" s="39" t="n"/>
      <c r="B110" s="40" t="n"/>
      <c r="C110" s="40" t="n"/>
      <c r="D110" s="40" t="n"/>
      <c r="E110" s="41" t="n"/>
      <c r="F110" s="41" t="n"/>
      <c r="G110" s="41" t="n"/>
      <c r="H110" s="41" t="n"/>
      <c r="I110" s="6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  <c r="AF110" s="38" t="n"/>
      <c r="AG110" s="38" t="n"/>
      <c r="AH110" s="38" t="n"/>
      <c r="AI110" s="38" t="n"/>
      <c r="AJ110" s="38" t="n"/>
      <c r="AK110" s="38" t="n"/>
      <c r="AL110" s="38" t="n"/>
      <c r="AM110" s="38" t="n"/>
      <c r="AN110" s="38" t="n"/>
      <c r="AO110" s="25">
        <f>SUM(J110:AN110)</f>
        <v/>
      </c>
      <c r="AQ110" s="25" t="n"/>
      <c r="AR110" s="25" t="n"/>
      <c r="AS110" s="26" t="n"/>
      <c r="AT110" s="27">
        <f>IF(AS110&gt;0, AO110/AS110, "")</f>
        <v/>
      </c>
    </row>
    <row r="111" hidden="1" s="69">
      <c r="A111" s="39" t="n"/>
      <c r="B111" s="40" t="n"/>
      <c r="C111" s="40" t="n"/>
      <c r="D111" s="40" t="n"/>
      <c r="E111" s="41" t="n"/>
      <c r="F111" s="41" t="n"/>
      <c r="G111" s="41" t="n"/>
      <c r="H111" s="41" t="n"/>
      <c r="I111" s="6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n"/>
      <c r="AM111" s="38" t="n"/>
      <c r="AN111" s="38" t="n"/>
      <c r="AO111" s="25">
        <f>SUM(J111:AN111)</f>
        <v/>
      </c>
      <c r="AQ111" s="25" t="n"/>
      <c r="AR111" s="25" t="n"/>
      <c r="AS111" s="26" t="n"/>
      <c r="AT111" s="27">
        <f>IF(AS111&gt;0, AO111/AS111, "")</f>
        <v/>
      </c>
    </row>
    <row r="112" hidden="1" s="69">
      <c r="A112" s="39" t="n"/>
      <c r="B112" s="40" t="n"/>
      <c r="C112" s="40" t="n"/>
      <c r="D112" s="40" t="n"/>
      <c r="E112" s="41" t="n"/>
      <c r="F112" s="41" t="n"/>
      <c r="G112" s="41" t="n"/>
      <c r="H112" s="41" t="n"/>
      <c r="I112" s="6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  <c r="AF112" s="38" t="n"/>
      <c r="AG112" s="38" t="n"/>
      <c r="AH112" s="38" t="n"/>
      <c r="AI112" s="38" t="n"/>
      <c r="AJ112" s="38" t="n"/>
      <c r="AK112" s="38" t="n"/>
      <c r="AL112" s="38" t="n"/>
      <c r="AM112" s="38" t="n"/>
      <c r="AN112" s="38" t="n"/>
      <c r="AO112" s="25">
        <f>SUM(J112:AN112)</f>
        <v/>
      </c>
      <c r="AQ112" s="25" t="n"/>
      <c r="AR112" s="25" t="n"/>
      <c r="AS112" s="26" t="n"/>
      <c r="AT112" s="27">
        <f>IF(AS112&gt;0, AO112/AS112, "")</f>
        <v/>
      </c>
    </row>
    <row r="113" hidden="1" s="69">
      <c r="A113" s="39" t="n"/>
      <c r="B113" s="40" t="n"/>
      <c r="C113" s="40" t="n"/>
      <c r="D113" s="40" t="n"/>
      <c r="E113" s="41" t="n"/>
      <c r="F113" s="41" t="n"/>
      <c r="G113" s="41" t="n"/>
      <c r="H113" s="41" t="n"/>
      <c r="I113" s="6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n"/>
      <c r="AM113" s="38" t="n"/>
      <c r="AN113" s="38" t="n"/>
      <c r="AO113" s="25">
        <f>SUM(J113:AN113)</f>
        <v/>
      </c>
      <c r="AQ113" s="25" t="n"/>
      <c r="AR113" s="25" t="n"/>
      <c r="AS113" s="26" t="n"/>
      <c r="AT113" s="27">
        <f>IF(AS113&gt;0, AO113/AS113, "")</f>
        <v/>
      </c>
    </row>
    <row r="114" hidden="1" s="69">
      <c r="A114" s="39" t="n"/>
      <c r="B114" s="40" t="n"/>
      <c r="C114" s="40" t="n"/>
      <c r="D114" s="40" t="n"/>
      <c r="E114" s="41" t="n"/>
      <c r="F114" s="41" t="n"/>
      <c r="G114" s="41" t="n"/>
      <c r="H114" s="41" t="n"/>
      <c r="I114" s="6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  <c r="AF114" s="38" t="n"/>
      <c r="AG114" s="38" t="n"/>
      <c r="AH114" s="38" t="n"/>
      <c r="AI114" s="38" t="n"/>
      <c r="AJ114" s="38" t="n"/>
      <c r="AK114" s="38" t="n"/>
      <c r="AL114" s="38" t="n"/>
      <c r="AM114" s="38" t="n"/>
      <c r="AN114" s="38" t="n"/>
      <c r="AO114" s="25">
        <f>SUM(J114:AN114)</f>
        <v/>
      </c>
      <c r="AQ114" s="25" t="n"/>
      <c r="AR114" s="25" t="n"/>
      <c r="AS114" s="26" t="n"/>
      <c r="AT114" s="27">
        <f>IF(AS114&gt;0, AO114/AS114, "")</f>
        <v/>
      </c>
    </row>
    <row r="115">
      <c r="A115" s="47" t="n"/>
      <c r="B115" s="47" t="n"/>
      <c r="C115" s="47" t="n"/>
      <c r="D115" s="41" t="n"/>
      <c r="E115" s="41" t="n"/>
      <c r="F115" s="41" t="n"/>
      <c r="G115" s="41" t="n"/>
      <c r="H115" s="41" t="n"/>
      <c r="I115" s="45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Q115" s="38" t="n"/>
      <c r="AR115" s="38" t="n"/>
      <c r="AS115" s="38" t="n"/>
      <c r="AT115" s="38" t="n"/>
    </row>
    <row r="116">
      <c r="A116" s="13" t="inlineStr">
        <is>
          <t>👗</t>
        </is>
      </c>
      <c r="B116" s="13" t="inlineStr">
        <is>
          <t>JUNE</t>
        </is>
      </c>
      <c r="I116" s="70">
        <f>DATE($D$1,6,1)</f>
        <v/>
      </c>
      <c r="J116" s="16">
        <f>I116</f>
        <v/>
      </c>
      <c r="K116" s="16">
        <f>J116+1</f>
        <v/>
      </c>
      <c r="L116" s="16">
        <f>K116+1</f>
        <v/>
      </c>
      <c r="M116" s="16">
        <f>L116+1</f>
        <v/>
      </c>
      <c r="N116" s="16">
        <f>M116+1</f>
        <v/>
      </c>
      <c r="O116" s="16">
        <f>N116+1</f>
        <v/>
      </c>
      <c r="P116" s="16">
        <f>O116+1</f>
        <v/>
      </c>
      <c r="Q116" s="16">
        <f>P116+1</f>
        <v/>
      </c>
      <c r="R116" s="16">
        <f>Q116+1</f>
        <v/>
      </c>
      <c r="S116" s="16">
        <f>R116+1</f>
        <v/>
      </c>
      <c r="T116" s="16">
        <f>S116+1</f>
        <v/>
      </c>
      <c r="U116" s="16">
        <f>T116+1</f>
        <v/>
      </c>
      <c r="V116" s="16">
        <f>U116+1</f>
        <v/>
      </c>
      <c r="W116" s="16">
        <f>V116+1</f>
        <v/>
      </c>
      <c r="X116" s="16">
        <f>W116+1</f>
        <v/>
      </c>
      <c r="Y116" s="16">
        <f>X116+1</f>
        <v/>
      </c>
      <c r="Z116" s="16">
        <f>Y116+1</f>
        <v/>
      </c>
      <c r="AA116" s="16">
        <f>Z116+1</f>
        <v/>
      </c>
      <c r="AB116" s="16">
        <f>AA116+1</f>
        <v/>
      </c>
      <c r="AC116" s="16">
        <f>AB116+1</f>
        <v/>
      </c>
      <c r="AD116" s="16">
        <f>AC116+1</f>
        <v/>
      </c>
      <c r="AE116" s="16">
        <f>AD116+1</f>
        <v/>
      </c>
      <c r="AF116" s="16">
        <f>AE116+1</f>
        <v/>
      </c>
      <c r="AG116" s="16">
        <f>AF116+1</f>
        <v/>
      </c>
      <c r="AH116" s="16">
        <f>AG116+1</f>
        <v/>
      </c>
      <c r="AI116" s="16">
        <f>AH116+1</f>
        <v/>
      </c>
      <c r="AJ116" s="16">
        <f>AI116+1</f>
        <v/>
      </c>
      <c r="AK116" s="16">
        <f>AJ116+1</f>
        <v/>
      </c>
      <c r="AL116" s="16">
        <f>AK116+1</f>
        <v/>
      </c>
      <c r="AM116" s="16">
        <f>AL116+1</f>
        <v/>
      </c>
      <c r="AN116" s="16" t="n"/>
      <c r="AO116" s="17" t="inlineStr">
        <is>
          <t>TOTAL</t>
        </is>
      </c>
      <c r="AQ116" s="18" t="inlineStr">
        <is>
          <t>current streak 🔥</t>
        </is>
      </c>
      <c r="AR116" s="18" t="inlineStr">
        <is>
          <t>longest streak😼</t>
        </is>
      </c>
      <c r="AS116" s="18" t="inlineStr">
        <is>
          <t>Goal🔢</t>
        </is>
      </c>
      <c r="AT116" s="18" t="inlineStr">
        <is>
          <t>Progress
📈</t>
        </is>
      </c>
    </row>
    <row r="117" ht="15" customHeight="1" s="69">
      <c r="A117" s="34" t="n"/>
      <c r="B117" s="34" t="n"/>
      <c r="I117" s="35" t="n"/>
      <c r="J117" s="36">
        <f>J116</f>
        <v/>
      </c>
      <c r="K117" s="36">
        <f>K116</f>
        <v/>
      </c>
      <c r="L117" s="36">
        <f>L116</f>
        <v/>
      </c>
      <c r="M117" s="36">
        <f>M116</f>
        <v/>
      </c>
      <c r="N117" s="36">
        <f>N116</f>
        <v/>
      </c>
      <c r="O117" s="36">
        <f>O116</f>
        <v/>
      </c>
      <c r="P117" s="36">
        <f>P116</f>
        <v/>
      </c>
      <c r="Q117" s="36">
        <f>Q116</f>
        <v/>
      </c>
      <c r="R117" s="36">
        <f>R116</f>
        <v/>
      </c>
      <c r="S117" s="36">
        <f>S116</f>
        <v/>
      </c>
      <c r="T117" s="36">
        <f>T116</f>
        <v/>
      </c>
      <c r="U117" s="36">
        <f>U116</f>
        <v/>
      </c>
      <c r="V117" s="36">
        <f>V116</f>
        <v/>
      </c>
      <c r="W117" s="36">
        <f>W116</f>
        <v/>
      </c>
      <c r="X117" s="36">
        <f>X116</f>
        <v/>
      </c>
      <c r="Y117" s="36">
        <f>Y116</f>
        <v/>
      </c>
      <c r="Z117" s="36">
        <f>Z116</f>
        <v/>
      </c>
      <c r="AA117" s="36">
        <f>AA116</f>
        <v/>
      </c>
      <c r="AB117" s="36">
        <f>AB116</f>
        <v/>
      </c>
      <c r="AC117" s="36">
        <f>AC116</f>
        <v/>
      </c>
      <c r="AD117" s="36">
        <f>AD116</f>
        <v/>
      </c>
      <c r="AE117" s="36">
        <f>AE116</f>
        <v/>
      </c>
      <c r="AF117" s="36">
        <f>AF116</f>
        <v/>
      </c>
      <c r="AG117" s="36">
        <f>AG116</f>
        <v/>
      </c>
      <c r="AH117" s="36">
        <f>AH116</f>
        <v/>
      </c>
      <c r="AI117" s="36">
        <f>AI116</f>
        <v/>
      </c>
      <c r="AJ117" s="36">
        <f>AJ116</f>
        <v/>
      </c>
      <c r="AK117" s="36">
        <f>AK116</f>
        <v/>
      </c>
      <c r="AL117" s="36">
        <f>AL116</f>
        <v/>
      </c>
      <c r="AM117" s="36">
        <f>AM116</f>
        <v/>
      </c>
      <c r="AN117" s="36">
        <f>AN116</f>
        <v/>
      </c>
    </row>
    <row r="118">
      <c r="A118" s="22" t="n"/>
      <c r="B118" s="52" t="inlineStr">
        <is>
          <t>Пн</t>
        </is>
      </c>
      <c r="C118" s="52" t="inlineStr">
        <is>
          <t>Вт</t>
        </is>
      </c>
      <c r="D118" s="52" t="inlineStr">
        <is>
          <t>Ср</t>
        </is>
      </c>
      <c r="E118" s="52" t="inlineStr">
        <is>
          <t>Чт</t>
        </is>
      </c>
      <c r="F118" s="52" t="inlineStr">
        <is>
          <t>Пт</t>
        </is>
      </c>
      <c r="G118" s="52" t="inlineStr">
        <is>
          <t>Сб</t>
        </is>
      </c>
      <c r="H118" s="52" t="inlineStr">
        <is>
          <t>Вс</t>
        </is>
      </c>
      <c r="I118" s="6">
        <f>ARRAYFORMULA(Setup!B3:B22)</f>
        <v/>
      </c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  <c r="AF118" s="38" t="n"/>
      <c r="AG118" s="38" t="n"/>
      <c r="AH118" s="38" t="n"/>
      <c r="AI118" s="38" t="n"/>
      <c r="AJ118" s="38" t="n"/>
      <c r="AK118" s="38" t="n"/>
      <c r="AL118" s="38" t="n"/>
      <c r="AM118" s="38" t="n"/>
      <c r="AN118" s="38" t="n"/>
      <c r="AO118" s="25">
        <f>SUM(J118:AN118)</f>
        <v/>
      </c>
      <c r="AQ118" s="25" t="n"/>
      <c r="AR118" s="25" t="n"/>
      <c r="AS118" s="26" t="n"/>
      <c r="AT118" s="27">
        <f>IF(AS118&gt;0, AO118/AS118, "")</f>
        <v/>
      </c>
    </row>
    <row r="119">
      <c r="A119" s="28">
        <f>WEEKNUM(B119,2)</f>
        <v/>
      </c>
      <c r="B119" s="29">
        <f>IFERROR(DATE($D$1, MONTH(I116), 1) - WEEKDAY(DATE($D$1, MONTH(I116), 1), 2) + 1 + 0*7 + 0, "")</f>
        <v/>
      </c>
      <c r="C119" s="30">
        <f>IFERROR(DATE($D$1, MONTH(I116), 1) - WEEKDAY(DATE($D$1, MONTH(I116), 1), 2) + 1 + 0*7 + 1, "")</f>
        <v/>
      </c>
      <c r="D119" s="30">
        <f>IFERROR(DATE($D$1, MONTH(I116), 1) - WEEKDAY(DATE($D$1, MONTH(I116), 1), 2) + 1 + 0*7 + 2, "")</f>
        <v/>
      </c>
      <c r="E119" s="30">
        <f>IFERROR(DATE($D$1, MONTH(I116), 1) - WEEKDAY(DATE($D$1, MONTH(I116), 1), 2) + 1 + 0*7 + 3, "")</f>
        <v/>
      </c>
      <c r="F119" s="30">
        <f>IFERROR(DATE($D$1, MONTH(I116), 1) - WEEKDAY(DATE($D$1, MONTH(I116), 1), 2) + 1 + 0*7 + 4, "")</f>
        <v/>
      </c>
      <c r="G119" s="30">
        <f>IFERROR(DATE($D$1, MONTH(I116), 1) - WEEKDAY(DATE($D$1, MONTH(I116), 1), 2) + 1 + 0*7 + 5, "")</f>
        <v/>
      </c>
      <c r="H119" s="30">
        <f>IFERROR(DATE($D$1, MONTH(I116), 1) - WEEKDAY(DATE($D$1, MONTH(I116), 1), 2) + 1 + 0*7 + 6, "")</f>
        <v/>
      </c>
      <c r="I119" s="6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n"/>
      <c r="AM119" s="38" t="n"/>
      <c r="AN119" s="38" t="n"/>
      <c r="AO119" s="25">
        <f>SUM(J119:AN119)</f>
        <v/>
      </c>
      <c r="AQ119" s="25" t="n"/>
      <c r="AR119" s="25" t="n"/>
      <c r="AS119" s="26" t="n"/>
      <c r="AT119" s="27">
        <f>IF(AS119&gt;0, AO119/AS119, "")</f>
        <v/>
      </c>
    </row>
    <row r="120">
      <c r="A120" s="31">
        <f>WEEKNUM(B120,2)</f>
        <v/>
      </c>
      <c r="B120" s="30">
        <f>IFERROR(DATE($D$1, MONTH(I116), 1) - WEEKDAY(DATE($D$1, MONTH(I116), 1), 2) + 1 + 1*7 + 0, "")</f>
        <v/>
      </c>
      <c r="C120" s="30">
        <f>IFERROR(DATE($D$1, MONTH(I116), 1) - WEEKDAY(DATE($D$1, MONTH(I116), 1), 2) + 1 + 1*7 + 1, "")</f>
        <v/>
      </c>
      <c r="D120" s="30">
        <f>IFERROR(DATE($D$1, MONTH(I116), 1) - WEEKDAY(DATE($D$1, MONTH(I116), 1), 2) + 1 + 1*7 + 2, "")</f>
        <v/>
      </c>
      <c r="E120" s="30">
        <f>IFERROR(DATE($D$1, MONTH(I116), 1) - WEEKDAY(DATE($D$1, MONTH(I116), 1), 2) + 1 + 1*7 + 3, "")</f>
        <v/>
      </c>
      <c r="F120" s="30">
        <f>IFERROR(DATE($D$1, MONTH(I116), 1) - WEEKDAY(DATE($D$1, MONTH(I116), 1), 2) + 1 + 1*7 + 4, "")</f>
        <v/>
      </c>
      <c r="G120" s="30">
        <f>IFERROR(DATE($D$1, MONTH(I116), 1) - WEEKDAY(DATE($D$1, MONTH(I116), 1), 2) + 1 + 1*7 + 5, "")</f>
        <v/>
      </c>
      <c r="H120" s="30">
        <f>IFERROR(DATE($D$1, MONTH(I116), 1) - WEEKDAY(DATE($D$1, MONTH(I116), 1), 2) + 1 + 1*7 + 6, "")</f>
        <v/>
      </c>
      <c r="I120" s="6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  <c r="AF120" s="38" t="n"/>
      <c r="AG120" s="38" t="n"/>
      <c r="AH120" s="38" t="n"/>
      <c r="AI120" s="38" t="n"/>
      <c r="AJ120" s="38" t="n"/>
      <c r="AK120" s="38" t="n"/>
      <c r="AL120" s="38" t="n"/>
      <c r="AM120" s="38" t="n"/>
      <c r="AN120" s="38" t="n"/>
      <c r="AO120" s="25">
        <f>SUM(J120:AN120)</f>
        <v/>
      </c>
      <c r="AQ120" s="25" t="n"/>
      <c r="AR120" s="25" t="n"/>
      <c r="AS120" s="26" t="n"/>
      <c r="AT120" s="27">
        <f>IF(AS120&gt;0, AO120/AS120, "")</f>
        <v/>
      </c>
    </row>
    <row r="121">
      <c r="A121" s="31">
        <f>WEEKNUM(B121,2)</f>
        <v/>
      </c>
      <c r="B121" s="30">
        <f>IFERROR(DATE($D$1, MONTH(I116), 1) - WEEKDAY(DATE($D$1, MONTH(I116), 1), 2) + 1 + 2*7 + 0, "")</f>
        <v/>
      </c>
      <c r="C121" s="30">
        <f>IFERROR(DATE($D$1, MONTH(I116), 1) - WEEKDAY(DATE($D$1, MONTH(I116), 1), 2) + 1 + 2*7 + 1, "")</f>
        <v/>
      </c>
      <c r="D121" s="30">
        <f>IFERROR(DATE($D$1, MONTH(I116), 1) - WEEKDAY(DATE($D$1, MONTH(I116), 1), 2) + 1 + 2*7 + 2, "")</f>
        <v/>
      </c>
      <c r="E121" s="30">
        <f>IFERROR(DATE($D$1, MONTH(I116), 1) - WEEKDAY(DATE($D$1, MONTH(I116), 1), 2) + 1 + 2*7 + 3, "")</f>
        <v/>
      </c>
      <c r="F121" s="30">
        <f>IFERROR(DATE($D$1, MONTH(I116), 1) - WEEKDAY(DATE($D$1, MONTH(I116), 1), 2) + 1 + 2*7 + 4, "")</f>
        <v/>
      </c>
      <c r="G121" s="30">
        <f>IFERROR(DATE($D$1, MONTH(I116), 1) - WEEKDAY(DATE($D$1, MONTH(I116), 1), 2) + 1 + 2*7 + 5, "")</f>
        <v/>
      </c>
      <c r="H121" s="30">
        <f>IFERROR(DATE($D$1, MONTH(I116), 1) - WEEKDAY(DATE($D$1, MONTH(I116), 1), 2) + 1 + 2*7 + 6, "")</f>
        <v/>
      </c>
      <c r="I121" s="6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n"/>
      <c r="AM121" s="38" t="n"/>
      <c r="AN121" s="38" t="n"/>
      <c r="AO121" s="25">
        <f>SUM(J121:AN121)</f>
        <v/>
      </c>
      <c r="AQ121" s="25" t="n"/>
      <c r="AR121" s="25" t="n"/>
      <c r="AS121" s="26" t="n"/>
      <c r="AT121" s="27">
        <f>IF(AS121&gt;0, AO121/AS121, "")</f>
        <v/>
      </c>
    </row>
    <row r="122">
      <c r="A122" s="31">
        <f>WEEKNUM(B122,2)</f>
        <v/>
      </c>
      <c r="B122" s="30">
        <f>IFERROR(DATE($D$1, MONTH(I116), 1) - WEEKDAY(DATE($D$1, MONTH(I116), 1), 2) + 1 + 3*7 + 0, "")</f>
        <v/>
      </c>
      <c r="C122" s="30">
        <f>IFERROR(DATE($D$1, MONTH(I116), 1) - WEEKDAY(DATE($D$1, MONTH(I116), 1), 2) + 1 + 3*7 + 1, "")</f>
        <v/>
      </c>
      <c r="D122" s="30">
        <f>IFERROR(DATE($D$1, MONTH(I116), 1) - WEEKDAY(DATE($D$1, MONTH(I116), 1), 2) + 1 + 3*7 + 2, "")</f>
        <v/>
      </c>
      <c r="E122" s="30">
        <f>IFERROR(DATE($D$1, MONTH(I116), 1) - WEEKDAY(DATE($D$1, MONTH(I116), 1), 2) + 1 + 3*7 + 3, "")</f>
        <v/>
      </c>
      <c r="F122" s="30">
        <f>IFERROR(DATE($D$1, MONTH(I116), 1) - WEEKDAY(DATE($D$1, MONTH(I116), 1), 2) + 1 + 3*7 + 4, "")</f>
        <v/>
      </c>
      <c r="G122" s="30">
        <f>IFERROR(DATE($D$1, MONTH(I116), 1) - WEEKDAY(DATE($D$1, MONTH(I116), 1), 2) + 1 + 3*7 + 5, "")</f>
        <v/>
      </c>
      <c r="H122" s="30">
        <f>IFERROR(DATE($D$1, MONTH(I116), 1) - WEEKDAY(DATE($D$1, MONTH(I116), 1), 2) + 1 + 3*7 + 6, "")</f>
        <v/>
      </c>
      <c r="I122" s="6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  <c r="AF122" s="38" t="n"/>
      <c r="AG122" s="38" t="n"/>
      <c r="AH122" s="38" t="n"/>
      <c r="AI122" s="38" t="n"/>
      <c r="AJ122" s="38" t="n"/>
      <c r="AK122" s="38" t="n"/>
      <c r="AL122" s="38" t="n"/>
      <c r="AM122" s="38" t="n"/>
      <c r="AN122" s="38" t="n"/>
      <c r="AO122" s="25">
        <f>SUM(J122:AN122)</f>
        <v/>
      </c>
      <c r="AQ122" s="25" t="n"/>
      <c r="AR122" s="25" t="n"/>
      <c r="AS122" s="26" t="n"/>
      <c r="AT122" s="27">
        <f>IF(AS122&gt;0, AO122/AS122, "")</f>
        <v/>
      </c>
    </row>
    <row r="123">
      <c r="A123" s="31">
        <f>WEEKNUM(B123,2)</f>
        <v/>
      </c>
      <c r="B123" s="30">
        <f>IFERROR(DATE($D$1, MONTH(I116), 1) - WEEKDAY(DATE($D$1, MONTH(I116), 1), 2) + 1 + 4*7 + 0, "")</f>
        <v/>
      </c>
      <c r="C123" s="30">
        <f>IFERROR(DATE($D$1, MONTH(I116), 1) - WEEKDAY(DATE($D$1, MONTH(I116), 1), 2) + 1 + 4*7 + 1, "")</f>
        <v/>
      </c>
      <c r="D123" s="30">
        <f>IFERROR(DATE($D$1, MONTH(I116), 1) - WEEKDAY(DATE($D$1, MONTH(I116), 1), 2) + 1 + 4*7 + 2, "")</f>
        <v/>
      </c>
      <c r="E123" s="30">
        <f>IFERROR(DATE($D$1, MONTH(I116), 1) - WEEKDAY(DATE($D$1, MONTH(I116), 1), 2) + 1 + 4*7 + 3, "")</f>
        <v/>
      </c>
      <c r="F123" s="30">
        <f>IFERROR(DATE($D$1, MONTH(I116), 1) - WEEKDAY(DATE($D$1, MONTH(I116), 1), 2) + 1 + 4*7 + 4, "")</f>
        <v/>
      </c>
      <c r="G123" s="30">
        <f>IFERROR(DATE($D$1, MONTH(I116), 1) - WEEKDAY(DATE($D$1, MONTH(I116), 1), 2) + 1 + 4*7 + 5, "")</f>
        <v/>
      </c>
      <c r="H123" s="30">
        <f>IFERROR(DATE($D$1, MONTH(I116), 1) - WEEKDAY(DATE($D$1, MONTH(I116), 1), 2) + 1 + 4*7 + 6, "")</f>
        <v/>
      </c>
      <c r="I123" s="6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n"/>
      <c r="AM123" s="38" t="n"/>
      <c r="AN123" s="38" t="n"/>
      <c r="AO123" s="25">
        <f>SUM(J123:AN123)</f>
        <v/>
      </c>
      <c r="AQ123" s="25" t="n"/>
      <c r="AR123" s="25" t="n"/>
      <c r="AS123" s="26" t="n"/>
      <c r="AT123" s="27">
        <f>IF(AS123&gt;0, AO123/AS123, "")</f>
        <v/>
      </c>
    </row>
    <row r="124">
      <c r="A124" s="31">
        <f>WEEKNUM(B124,2)</f>
        <v/>
      </c>
      <c r="B124" s="30">
        <f>IFERROR(DATE($D$1, MONTH(I116), 1) - WEEKDAY(DATE($D$1, MONTH(I116), 1), 2) + 1 + 5*7 + 0, "")</f>
        <v/>
      </c>
      <c r="C124" s="30">
        <f>IFERROR(DATE($D$1, MONTH(I116), 1) - WEEKDAY(DATE($D$1, MONTH(I116), 1), 2) + 1 + 5*7 + 1, "")</f>
        <v/>
      </c>
      <c r="D124" s="30">
        <f>IFERROR(DATE($D$1, MONTH(I116), 1) - WEEKDAY(DATE($D$1, MONTH(I116), 1), 2) + 1 + 5*7 + 2, "")</f>
        <v/>
      </c>
      <c r="E124" s="30">
        <f>IFERROR(DATE($D$1, MONTH(I116), 1) - WEEKDAY(DATE($D$1, MONTH(I116), 1), 2) + 1 + 5*7 + 3, "")</f>
        <v/>
      </c>
      <c r="F124" s="30">
        <f>IFERROR(DATE($D$1, MONTH(I116), 1) - WEEKDAY(DATE($D$1, MONTH(I116), 1), 2) + 1 + 5*7 + 4, "")</f>
        <v/>
      </c>
      <c r="G124" s="30">
        <f>IFERROR(DATE($D$1, MONTH(I116), 1) - WEEKDAY(DATE($D$1, MONTH(I116), 1), 2) + 1 + 5*7 + 5, "")</f>
        <v/>
      </c>
      <c r="H124" s="30">
        <f>IFERROR(DATE($D$1, MONTH(I116), 1) - WEEKDAY(DATE($D$1, MONTH(I116), 1), 2) + 1 + 5*7 + 6, "")</f>
        <v/>
      </c>
      <c r="I124" s="6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  <c r="AF124" s="38" t="n"/>
      <c r="AG124" s="38" t="n"/>
      <c r="AH124" s="38" t="n"/>
      <c r="AI124" s="38" t="n"/>
      <c r="AJ124" s="38" t="n"/>
      <c r="AK124" s="38" t="n"/>
      <c r="AL124" s="38" t="n"/>
      <c r="AM124" s="38" t="n"/>
      <c r="AN124" s="38" t="n"/>
      <c r="AO124" s="25">
        <f>SUM(J124:AN124)</f>
        <v/>
      </c>
      <c r="AQ124" s="25" t="n"/>
      <c r="AR124" s="25" t="n"/>
      <c r="AS124" s="26" t="n"/>
      <c r="AT124" s="27">
        <f>IF(AS124&gt;0, AO124/AS124, "")</f>
        <v/>
      </c>
    </row>
    <row r="125" hidden="1" s="69">
      <c r="A125" s="39" t="n"/>
      <c r="B125" s="40" t="n"/>
      <c r="C125" s="40" t="n"/>
      <c r="D125" s="40" t="n"/>
      <c r="E125" s="40" t="n"/>
      <c r="F125" s="40" t="n"/>
      <c r="G125" s="41" t="n"/>
      <c r="H125" s="41" t="n"/>
      <c r="I125" s="6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25">
        <f>SUM(J125:AN125)</f>
        <v/>
      </c>
      <c r="AQ125" s="25" t="n"/>
      <c r="AR125" s="25" t="n"/>
      <c r="AS125" s="26" t="n"/>
      <c r="AT125" s="27">
        <f>IF(AS125&gt;0, AO125/AS125, "")</f>
        <v/>
      </c>
    </row>
    <row r="126" hidden="1" s="69">
      <c r="A126" s="39" t="n"/>
      <c r="B126" s="40" t="n"/>
      <c r="C126" s="40" t="n"/>
      <c r="D126" s="40" t="n"/>
      <c r="E126" s="40" t="n"/>
      <c r="F126" s="40" t="n"/>
      <c r="G126" s="41" t="n"/>
      <c r="H126" s="41" t="n"/>
      <c r="I126" s="6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  <c r="AF126" s="38" t="n"/>
      <c r="AG126" s="38" t="n"/>
      <c r="AH126" s="38" t="n"/>
      <c r="AI126" s="38" t="n"/>
      <c r="AJ126" s="38" t="n"/>
      <c r="AK126" s="38" t="n"/>
      <c r="AL126" s="38" t="n"/>
      <c r="AM126" s="38" t="n"/>
      <c r="AN126" s="38" t="n"/>
      <c r="AO126" s="25">
        <f>SUM(J126:AN126)</f>
        <v/>
      </c>
      <c r="AQ126" s="25" t="n"/>
      <c r="AR126" s="25" t="n"/>
      <c r="AS126" s="26" t="n"/>
      <c r="AT126" s="27">
        <f>IF(AS126&gt;0, AO126/AS126, "")</f>
        <v/>
      </c>
    </row>
    <row r="127" hidden="1" s="69">
      <c r="A127" s="39" t="n"/>
      <c r="B127" s="40" t="n"/>
      <c r="C127" s="40" t="n"/>
      <c r="D127" s="40" t="n"/>
      <c r="E127" s="40" t="n"/>
      <c r="F127" s="40" t="n"/>
      <c r="G127" s="41" t="n"/>
      <c r="H127" s="41" t="n"/>
      <c r="I127" s="6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n"/>
      <c r="AM127" s="38" t="n"/>
      <c r="AN127" s="38" t="n"/>
      <c r="AO127" s="25">
        <f>SUM(J127:AN127)</f>
        <v/>
      </c>
      <c r="AQ127" s="25" t="n"/>
      <c r="AR127" s="25" t="n"/>
      <c r="AS127" s="26" t="n"/>
      <c r="AT127" s="27">
        <f>IF(AS127&gt;0, AO127/AS127, "")</f>
        <v/>
      </c>
    </row>
    <row r="128" hidden="1" s="69">
      <c r="A128" s="39" t="n"/>
      <c r="B128" s="40" t="n"/>
      <c r="C128" s="40" t="n"/>
      <c r="D128" s="40" t="n"/>
      <c r="E128" s="40" t="n"/>
      <c r="F128" s="40" t="n"/>
      <c r="G128" s="41" t="n"/>
      <c r="H128" s="41" t="n"/>
      <c r="I128" s="6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  <c r="AF128" s="38" t="n"/>
      <c r="AG128" s="38" t="n"/>
      <c r="AH128" s="38" t="n"/>
      <c r="AI128" s="38" t="n"/>
      <c r="AJ128" s="38" t="n"/>
      <c r="AK128" s="38" t="n"/>
      <c r="AL128" s="38" t="n"/>
      <c r="AM128" s="38" t="n"/>
      <c r="AN128" s="38" t="n"/>
      <c r="AO128" s="25">
        <f>SUM(J128:AN128)</f>
        <v/>
      </c>
      <c r="AQ128" s="25" t="n"/>
      <c r="AR128" s="25" t="n"/>
      <c r="AS128" s="26" t="n"/>
      <c r="AT128" s="27">
        <f>IF(AS128&gt;0, AO128/AS128, "")</f>
        <v/>
      </c>
    </row>
    <row r="129" hidden="1" s="69">
      <c r="A129" s="39" t="n"/>
      <c r="B129" s="40" t="n"/>
      <c r="C129" s="40" t="n"/>
      <c r="D129" s="40" t="n"/>
      <c r="E129" s="40" t="n"/>
      <c r="F129" s="40" t="n"/>
      <c r="G129" s="41" t="n"/>
      <c r="H129" s="41" t="n"/>
      <c r="I129" s="6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n"/>
      <c r="AM129" s="38" t="n"/>
      <c r="AN129" s="38" t="n"/>
      <c r="AO129" s="25">
        <f>SUM(J129:AN129)</f>
        <v/>
      </c>
      <c r="AQ129" s="25" t="n"/>
      <c r="AR129" s="25" t="n"/>
      <c r="AS129" s="26" t="n"/>
      <c r="AT129" s="27">
        <f>IF(AS129&gt;0, AO129/AS129, "")</f>
        <v/>
      </c>
    </row>
    <row r="130" hidden="1" s="69">
      <c r="A130" s="39" t="n"/>
      <c r="B130" s="40" t="n"/>
      <c r="C130" s="40" t="n"/>
      <c r="D130" s="40" t="n"/>
      <c r="E130" s="40" t="n"/>
      <c r="F130" s="40" t="n"/>
      <c r="G130" s="41" t="n"/>
      <c r="H130" s="41" t="n"/>
      <c r="I130" s="6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  <c r="AF130" s="38" t="n"/>
      <c r="AG130" s="38" t="n"/>
      <c r="AH130" s="38" t="n"/>
      <c r="AI130" s="38" t="n"/>
      <c r="AJ130" s="38" t="n"/>
      <c r="AK130" s="38" t="n"/>
      <c r="AL130" s="38" t="n"/>
      <c r="AM130" s="38" t="n"/>
      <c r="AN130" s="38" t="n"/>
      <c r="AO130" s="25">
        <f>SUM(J130:AN130)</f>
        <v/>
      </c>
      <c r="AQ130" s="25" t="n"/>
      <c r="AR130" s="25" t="n"/>
      <c r="AS130" s="26" t="n"/>
      <c r="AT130" s="27">
        <f>IF(AS130&gt;0, AO130/AS130, "")</f>
        <v/>
      </c>
    </row>
    <row r="131" hidden="1" s="69">
      <c r="A131" s="39" t="n"/>
      <c r="B131" s="40" t="n"/>
      <c r="C131" s="40" t="n"/>
      <c r="D131" s="40" t="n"/>
      <c r="E131" s="40" t="n"/>
      <c r="F131" s="40" t="n"/>
      <c r="G131" s="41" t="n"/>
      <c r="H131" s="41" t="n"/>
      <c r="I131" s="6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  <c r="AF131" s="38" t="n"/>
      <c r="AG131" s="38" t="n"/>
      <c r="AH131" s="38" t="n"/>
      <c r="AI131" s="38" t="n"/>
      <c r="AJ131" s="38" t="n"/>
      <c r="AK131" s="38" t="n"/>
      <c r="AL131" s="38" t="n"/>
      <c r="AM131" s="38" t="n"/>
      <c r="AN131" s="38" t="n"/>
      <c r="AO131" s="25">
        <f>SUM(J131:AN131)</f>
        <v/>
      </c>
      <c r="AQ131" s="25" t="n"/>
      <c r="AR131" s="25" t="n"/>
      <c r="AS131" s="26" t="n"/>
      <c r="AT131" s="27">
        <f>IF(AS131&gt;0, AO131/AS131, "")</f>
        <v/>
      </c>
    </row>
    <row r="132" hidden="1" s="69">
      <c r="A132" s="39" t="n"/>
      <c r="B132" s="40" t="n"/>
      <c r="C132" s="40" t="n"/>
      <c r="D132" s="40" t="n"/>
      <c r="E132" s="40" t="n"/>
      <c r="F132" s="40" t="n"/>
      <c r="G132" s="41" t="n"/>
      <c r="H132" s="41" t="n"/>
      <c r="I132" s="6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  <c r="AF132" s="38" t="n"/>
      <c r="AG132" s="38" t="n"/>
      <c r="AH132" s="38" t="n"/>
      <c r="AI132" s="38" t="n"/>
      <c r="AJ132" s="38" t="n"/>
      <c r="AK132" s="38" t="n"/>
      <c r="AL132" s="38" t="n"/>
      <c r="AM132" s="38" t="n"/>
      <c r="AN132" s="38" t="n"/>
      <c r="AO132" s="25">
        <f>SUM(J132:AN132)</f>
        <v/>
      </c>
      <c r="AQ132" s="25" t="n"/>
      <c r="AR132" s="25" t="n"/>
      <c r="AS132" s="26" t="n"/>
      <c r="AT132" s="27">
        <f>IF(AS132&gt;0, AO132/AS132, "")</f>
        <v/>
      </c>
    </row>
    <row r="133" hidden="1" s="69">
      <c r="A133" s="39" t="n"/>
      <c r="B133" s="40" t="n"/>
      <c r="C133" s="40" t="n"/>
      <c r="D133" s="40" t="n"/>
      <c r="E133" s="40" t="n"/>
      <c r="F133" s="40" t="n"/>
      <c r="G133" s="41" t="n"/>
      <c r="H133" s="41" t="n"/>
      <c r="I133" s="6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  <c r="AF133" s="38" t="n"/>
      <c r="AG133" s="38" t="n"/>
      <c r="AH133" s="38" t="n"/>
      <c r="AI133" s="38" t="n"/>
      <c r="AJ133" s="38" t="n"/>
      <c r="AK133" s="38" t="n"/>
      <c r="AL133" s="38" t="n"/>
      <c r="AM133" s="38" t="n"/>
      <c r="AN133" s="38" t="n"/>
      <c r="AO133" s="25">
        <f>SUM(J133:AN133)</f>
        <v/>
      </c>
      <c r="AQ133" s="25" t="n"/>
      <c r="AR133" s="25" t="n"/>
      <c r="AS133" s="26" t="n"/>
      <c r="AT133" s="27">
        <f>IF(AS133&gt;0, AO133/AS133, "")</f>
        <v/>
      </c>
    </row>
    <row r="134" hidden="1" s="69">
      <c r="A134" s="39" t="n"/>
      <c r="B134" s="40" t="n"/>
      <c r="C134" s="40" t="n"/>
      <c r="D134" s="40" t="n"/>
      <c r="E134" s="40" t="n"/>
      <c r="F134" s="40" t="n"/>
      <c r="G134" s="41" t="n"/>
      <c r="H134" s="41" t="n"/>
      <c r="I134" s="6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  <c r="AF134" s="38" t="n"/>
      <c r="AG134" s="38" t="n"/>
      <c r="AH134" s="38" t="n"/>
      <c r="AI134" s="38" t="n"/>
      <c r="AJ134" s="38" t="n"/>
      <c r="AK134" s="38" t="n"/>
      <c r="AL134" s="38" t="n"/>
      <c r="AM134" s="38" t="n"/>
      <c r="AN134" s="38" t="n"/>
      <c r="AO134" s="25">
        <f>SUM(J134:AN134)</f>
        <v/>
      </c>
      <c r="AQ134" s="25" t="n"/>
      <c r="AR134" s="25" t="n"/>
      <c r="AS134" s="26" t="n"/>
      <c r="AT134" s="27">
        <f>IF(AS134&gt;0, AO134/AS134, "")</f>
        <v/>
      </c>
    </row>
    <row r="135" hidden="1" s="69">
      <c r="A135" s="39" t="n"/>
      <c r="B135" s="40" t="n"/>
      <c r="C135" s="40" t="n"/>
      <c r="D135" s="40" t="n"/>
      <c r="E135" s="40" t="n"/>
      <c r="F135" s="40" t="n"/>
      <c r="G135" s="41" t="n"/>
      <c r="H135" s="41" t="n"/>
      <c r="I135" s="6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  <c r="AF135" s="38" t="n"/>
      <c r="AG135" s="38" t="n"/>
      <c r="AH135" s="38" t="n"/>
      <c r="AI135" s="38" t="n"/>
      <c r="AJ135" s="38" t="n"/>
      <c r="AK135" s="38" t="n"/>
      <c r="AL135" s="38" t="n"/>
      <c r="AM135" s="38" t="n"/>
      <c r="AN135" s="38" t="n"/>
      <c r="AO135" s="25">
        <f>SUM(J135:AN135)</f>
        <v/>
      </c>
      <c r="AQ135" s="25" t="n"/>
      <c r="AR135" s="25" t="n"/>
      <c r="AS135" s="26" t="n"/>
      <c r="AT135" s="27">
        <f>IF(AS135&gt;0, AO135/AS135, "")</f>
        <v/>
      </c>
    </row>
    <row r="136" hidden="1" s="69">
      <c r="A136" s="39" t="n"/>
      <c r="B136" s="40" t="n"/>
      <c r="C136" s="40" t="n"/>
      <c r="D136" s="40" t="n"/>
      <c r="E136" s="40" t="n"/>
      <c r="F136" s="40" t="n"/>
      <c r="G136" s="41" t="n"/>
      <c r="H136" s="41" t="n"/>
      <c r="I136" s="6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  <c r="AF136" s="38" t="n"/>
      <c r="AG136" s="38" t="n"/>
      <c r="AH136" s="38" t="n"/>
      <c r="AI136" s="38" t="n"/>
      <c r="AJ136" s="38" t="n"/>
      <c r="AK136" s="38" t="n"/>
      <c r="AL136" s="38" t="n"/>
      <c r="AM136" s="38" t="n"/>
      <c r="AN136" s="38" t="n"/>
      <c r="AO136" s="25">
        <f>SUM(J136:AN136)</f>
        <v/>
      </c>
      <c r="AQ136" s="25" t="n"/>
      <c r="AR136" s="25" t="n"/>
      <c r="AS136" s="26" t="n"/>
      <c r="AT136" s="27">
        <f>IF(AS136&gt;0, AO136/AS136, "")</f>
        <v/>
      </c>
    </row>
    <row r="137" hidden="1" s="69">
      <c r="A137" s="39" t="n"/>
      <c r="B137" s="40" t="n"/>
      <c r="C137" s="40" t="n"/>
      <c r="D137" s="40" t="n"/>
      <c r="E137" s="40" t="n"/>
      <c r="F137" s="40" t="n"/>
      <c r="G137" s="41" t="n"/>
      <c r="H137" s="41" t="n"/>
      <c r="I137" s="6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  <c r="AF137" s="38" t="n"/>
      <c r="AG137" s="38" t="n"/>
      <c r="AH137" s="38" t="n"/>
      <c r="AI137" s="38" t="n"/>
      <c r="AJ137" s="38" t="n"/>
      <c r="AK137" s="38" t="n"/>
      <c r="AL137" s="38" t="n"/>
      <c r="AM137" s="38" t="n"/>
      <c r="AN137" s="38" t="n"/>
      <c r="AO137" s="25">
        <f>SUM(J137:AN137)</f>
        <v/>
      </c>
      <c r="AQ137" s="25" t="n"/>
      <c r="AR137" s="25" t="n"/>
      <c r="AS137" s="26" t="n"/>
      <c r="AT137" s="27">
        <f>IF(AS137&gt;0, AO137/AS137, "")</f>
        <v/>
      </c>
    </row>
    <row r="138">
      <c r="A138" s="38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  <c r="AF138" s="38" t="n"/>
      <c r="AG138" s="38" t="n"/>
      <c r="AH138" s="38" t="n"/>
      <c r="AI138" s="38" t="n"/>
      <c r="AJ138" s="38" t="n"/>
      <c r="AK138" s="38" t="n"/>
      <c r="AL138" s="38" t="n"/>
      <c r="AM138" s="38" t="n"/>
      <c r="AN138" s="38" t="n"/>
      <c r="AO138" s="38" t="n"/>
      <c r="AQ138" s="38" t="n"/>
      <c r="AR138" s="38" t="n"/>
      <c r="AS138" s="38" t="n"/>
      <c r="AT138" s="38" t="n"/>
    </row>
    <row r="139">
      <c r="A139" s="13" t="inlineStr">
        <is>
          <t>👙</t>
        </is>
      </c>
      <c r="B139" s="13" t="inlineStr">
        <is>
          <t>JULY</t>
        </is>
      </c>
      <c r="I139" s="70">
        <f>DATE($D$1,7,1)</f>
        <v/>
      </c>
      <c r="J139" s="16">
        <f>I139</f>
        <v/>
      </c>
      <c r="K139" s="16">
        <f>J139+1</f>
        <v/>
      </c>
      <c r="L139" s="16">
        <f>K139+1</f>
        <v/>
      </c>
      <c r="M139" s="16">
        <f>L139+1</f>
        <v/>
      </c>
      <c r="N139" s="16">
        <f>M139+1</f>
        <v/>
      </c>
      <c r="O139" s="16">
        <f>N139+1</f>
        <v/>
      </c>
      <c r="P139" s="16">
        <f>O139+1</f>
        <v/>
      </c>
      <c r="Q139" s="16">
        <f>P139+1</f>
        <v/>
      </c>
      <c r="R139" s="16">
        <f>Q139+1</f>
        <v/>
      </c>
      <c r="S139" s="16">
        <f>R139+1</f>
        <v/>
      </c>
      <c r="T139" s="16">
        <f>S139+1</f>
        <v/>
      </c>
      <c r="U139" s="16">
        <f>T139+1</f>
        <v/>
      </c>
      <c r="V139" s="16">
        <f>U139+1</f>
        <v/>
      </c>
      <c r="W139" s="16">
        <f>V139+1</f>
        <v/>
      </c>
      <c r="X139" s="16">
        <f>W139+1</f>
        <v/>
      </c>
      <c r="Y139" s="16">
        <f>X139+1</f>
        <v/>
      </c>
      <c r="Z139" s="16">
        <f>Y139+1</f>
        <v/>
      </c>
      <c r="AA139" s="16">
        <f>Z139+1</f>
        <v/>
      </c>
      <c r="AB139" s="16">
        <f>AA139+1</f>
        <v/>
      </c>
      <c r="AC139" s="16">
        <f>AB139+1</f>
        <v/>
      </c>
      <c r="AD139" s="16">
        <f>AC139+1</f>
        <v/>
      </c>
      <c r="AE139" s="16">
        <f>AD139+1</f>
        <v/>
      </c>
      <c r="AF139" s="16">
        <f>AE139+1</f>
        <v/>
      </c>
      <c r="AG139" s="16">
        <f>AF139+1</f>
        <v/>
      </c>
      <c r="AH139" s="16">
        <f>AG139+1</f>
        <v/>
      </c>
      <c r="AI139" s="16">
        <f>AH139+1</f>
        <v/>
      </c>
      <c r="AJ139" s="16">
        <f>AI139+1</f>
        <v/>
      </c>
      <c r="AK139" s="16">
        <f>AJ139+1</f>
        <v/>
      </c>
      <c r="AL139" s="16">
        <f>AK139+1</f>
        <v/>
      </c>
      <c r="AM139" s="16">
        <f>AL139+1</f>
        <v/>
      </c>
      <c r="AN139" s="16">
        <f>AM139+1</f>
        <v/>
      </c>
      <c r="AO139" s="17" t="inlineStr">
        <is>
          <t>TOTAL</t>
        </is>
      </c>
      <c r="AQ139" s="18" t="inlineStr">
        <is>
          <t>current streak 🔥</t>
        </is>
      </c>
      <c r="AR139" s="18" t="inlineStr">
        <is>
          <t>longest streak😼</t>
        </is>
      </c>
      <c r="AS139" s="18" t="inlineStr">
        <is>
          <t>Goal🔢</t>
        </is>
      </c>
      <c r="AT139" s="18" t="inlineStr">
        <is>
          <t>Progress
📈</t>
        </is>
      </c>
    </row>
    <row r="140" ht="15" customHeight="1" s="69">
      <c r="A140" s="34" t="n"/>
      <c r="B140" s="34" t="n"/>
      <c r="I140" s="35" t="n"/>
      <c r="J140" s="36">
        <f>J139</f>
        <v/>
      </c>
      <c r="K140" s="36">
        <f>K139</f>
        <v/>
      </c>
      <c r="L140" s="36">
        <f>L139</f>
        <v/>
      </c>
      <c r="M140" s="36">
        <f>M139</f>
        <v/>
      </c>
      <c r="N140" s="36">
        <f>N139</f>
        <v/>
      </c>
      <c r="O140" s="36">
        <f>O139</f>
        <v/>
      </c>
      <c r="P140" s="36">
        <f>P139</f>
        <v/>
      </c>
      <c r="Q140" s="36">
        <f>Q139</f>
        <v/>
      </c>
      <c r="R140" s="36">
        <f>R139</f>
        <v/>
      </c>
      <c r="S140" s="36">
        <f>S139</f>
        <v/>
      </c>
      <c r="T140" s="36">
        <f>T139</f>
        <v/>
      </c>
      <c r="U140" s="36">
        <f>U139</f>
        <v/>
      </c>
      <c r="V140" s="36">
        <f>V139</f>
        <v/>
      </c>
      <c r="W140" s="36">
        <f>W139</f>
        <v/>
      </c>
      <c r="X140" s="36">
        <f>X139</f>
        <v/>
      </c>
      <c r="Y140" s="36">
        <f>Y139</f>
        <v/>
      </c>
      <c r="Z140" s="36">
        <f>Z139</f>
        <v/>
      </c>
      <c r="AA140" s="36">
        <f>AA139</f>
        <v/>
      </c>
      <c r="AB140" s="36">
        <f>AB139</f>
        <v/>
      </c>
      <c r="AC140" s="36">
        <f>AC139</f>
        <v/>
      </c>
      <c r="AD140" s="36">
        <f>AD139</f>
        <v/>
      </c>
      <c r="AE140" s="36">
        <f>AE139</f>
        <v/>
      </c>
      <c r="AF140" s="36">
        <f>AF139</f>
        <v/>
      </c>
      <c r="AG140" s="36">
        <f>AG139</f>
        <v/>
      </c>
      <c r="AH140" s="36">
        <f>AH139</f>
        <v/>
      </c>
      <c r="AI140" s="36">
        <f>AI139</f>
        <v/>
      </c>
      <c r="AJ140" s="36">
        <f>AJ139</f>
        <v/>
      </c>
      <c r="AK140" s="36">
        <f>AK139</f>
        <v/>
      </c>
      <c r="AL140" s="36">
        <f>AL139</f>
        <v/>
      </c>
      <c r="AM140" s="36">
        <f>AM139</f>
        <v/>
      </c>
      <c r="AN140" s="36">
        <f>AN139</f>
        <v/>
      </c>
    </row>
    <row r="141">
      <c r="A141" s="22" t="n"/>
      <c r="B141" s="52" t="inlineStr">
        <is>
          <t>Пн</t>
        </is>
      </c>
      <c r="C141" s="52" t="inlineStr">
        <is>
          <t>Вт</t>
        </is>
      </c>
      <c r="D141" s="52" t="inlineStr">
        <is>
          <t>Ср</t>
        </is>
      </c>
      <c r="E141" s="52" t="inlineStr">
        <is>
          <t>Чт</t>
        </is>
      </c>
      <c r="F141" s="52" t="inlineStr">
        <is>
          <t>Пт</t>
        </is>
      </c>
      <c r="G141" s="52" t="inlineStr">
        <is>
          <t>Сб</t>
        </is>
      </c>
      <c r="H141" s="52" t="inlineStr">
        <is>
          <t>Вс</t>
        </is>
      </c>
      <c r="I141" s="6">
        <f>ARRAYFORMULA(Setup!B3:B22)</f>
        <v/>
      </c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  <c r="AF141" s="38" t="n"/>
      <c r="AG141" s="38" t="n"/>
      <c r="AH141" s="38" t="n"/>
      <c r="AI141" s="38" t="n"/>
      <c r="AJ141" s="38" t="n"/>
      <c r="AK141" s="38" t="n"/>
      <c r="AL141" s="38" t="n"/>
      <c r="AM141" s="38" t="n"/>
      <c r="AN141" s="38" t="n"/>
      <c r="AO141" s="25">
        <f>SUM(J141:AN141)</f>
        <v/>
      </c>
      <c r="AQ141" s="25" t="n"/>
      <c r="AR141" s="25" t="n"/>
      <c r="AS141" s="26" t="n"/>
      <c r="AT141" s="27">
        <f>IF(AS141&gt;0, AO141/AS141, "")</f>
        <v/>
      </c>
    </row>
    <row r="142">
      <c r="A142" s="28">
        <f>WEEKNUM(B142,2)</f>
        <v/>
      </c>
      <c r="B142" s="29">
        <f>IFERROR(DATE($D$1, MONTH(I139), 1) - WEEKDAY(DATE($D$1, MONTH(I139), 1), 2) + 1 + 0*7 + 0, "")</f>
        <v/>
      </c>
      <c r="C142" s="30">
        <f>IFERROR(DATE($D$1, MONTH(I139), 1) - WEEKDAY(DATE($D$1, MONTH(I139), 1), 2) + 1 + 0*7 + 1, "")</f>
        <v/>
      </c>
      <c r="D142" s="30">
        <f>IFERROR(DATE($D$1, MONTH(I139), 1) - WEEKDAY(DATE($D$1, MONTH(I139), 1), 2) + 1 + 0*7 + 2, "")</f>
        <v/>
      </c>
      <c r="E142" s="30">
        <f>IFERROR(DATE($D$1, MONTH(I139), 1) - WEEKDAY(DATE($D$1, MONTH(I139), 1), 2) + 1 + 0*7 + 3, "")</f>
        <v/>
      </c>
      <c r="F142" s="30">
        <f>IFERROR(DATE($D$1, MONTH(I139), 1) - WEEKDAY(DATE($D$1, MONTH(I139), 1), 2) + 1 + 0*7 + 4, "")</f>
        <v/>
      </c>
      <c r="G142" s="30">
        <f>IFERROR(DATE($D$1, MONTH(I139), 1) - WEEKDAY(DATE($D$1, MONTH(I139), 1), 2) + 1 + 0*7 + 5, "")</f>
        <v/>
      </c>
      <c r="H142" s="30">
        <f>IFERROR(DATE($D$1, MONTH(I139), 1) - WEEKDAY(DATE($D$1, MONTH(I139), 1), 2) + 1 + 0*7 + 6, "")</f>
        <v/>
      </c>
      <c r="I142" s="6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  <c r="AF142" s="38" t="n"/>
      <c r="AG142" s="38" t="n"/>
      <c r="AH142" s="38" t="n"/>
      <c r="AI142" s="38" t="n"/>
      <c r="AJ142" s="38" t="n"/>
      <c r="AK142" s="38" t="n"/>
      <c r="AL142" s="38" t="n"/>
      <c r="AM142" s="38" t="n"/>
      <c r="AN142" s="38" t="n"/>
      <c r="AO142" s="25">
        <f>SUM(J142:AN142)</f>
        <v/>
      </c>
      <c r="AQ142" s="25" t="n"/>
      <c r="AR142" s="25" t="n"/>
      <c r="AS142" s="26" t="n"/>
      <c r="AT142" s="27">
        <f>IF(AS142&gt;0, AO142/AS142, "")</f>
        <v/>
      </c>
    </row>
    <row r="143">
      <c r="A143" s="31">
        <f>WEEKNUM(B143,2)</f>
        <v/>
      </c>
      <c r="B143" s="30">
        <f>IFERROR(DATE($D$1, MONTH(I139), 1) - WEEKDAY(DATE($D$1, MONTH(I139), 1), 2) + 1 + 1*7 + 0, "")</f>
        <v/>
      </c>
      <c r="C143" s="30">
        <f>IFERROR(DATE($D$1, MONTH(I139), 1) - WEEKDAY(DATE($D$1, MONTH(I139), 1), 2) + 1 + 1*7 + 1, "")</f>
        <v/>
      </c>
      <c r="D143" s="30">
        <f>IFERROR(DATE($D$1, MONTH(I139), 1) - WEEKDAY(DATE($D$1, MONTH(I139), 1), 2) + 1 + 1*7 + 2, "")</f>
        <v/>
      </c>
      <c r="E143" s="30">
        <f>IFERROR(DATE($D$1, MONTH(I139), 1) - WEEKDAY(DATE($D$1, MONTH(I139), 1), 2) + 1 + 1*7 + 3, "")</f>
        <v/>
      </c>
      <c r="F143" s="30">
        <f>IFERROR(DATE($D$1, MONTH(I139), 1) - WEEKDAY(DATE($D$1, MONTH(I139), 1), 2) + 1 + 1*7 + 4, "")</f>
        <v/>
      </c>
      <c r="G143" s="30">
        <f>IFERROR(DATE($D$1, MONTH(I139), 1) - WEEKDAY(DATE($D$1, MONTH(I139), 1), 2) + 1 + 1*7 + 5, "")</f>
        <v/>
      </c>
      <c r="H143" s="30">
        <f>IFERROR(DATE($D$1, MONTH(I139), 1) - WEEKDAY(DATE($D$1, MONTH(I139), 1), 2) + 1 + 1*7 + 6, "")</f>
        <v/>
      </c>
      <c r="I143" s="6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38" t="n"/>
      <c r="AE143" s="38" t="n"/>
      <c r="AF143" s="38" t="n"/>
      <c r="AG143" s="38" t="n"/>
      <c r="AH143" s="38" t="n"/>
      <c r="AI143" s="38" t="n"/>
      <c r="AJ143" s="38" t="n"/>
      <c r="AK143" s="38" t="n"/>
      <c r="AL143" s="38" t="n"/>
      <c r="AM143" s="38" t="n"/>
      <c r="AN143" s="38" t="n"/>
      <c r="AO143" s="25">
        <f>SUM(J143:AN143)</f>
        <v/>
      </c>
      <c r="AQ143" s="25" t="n"/>
      <c r="AR143" s="25" t="n"/>
      <c r="AS143" s="26" t="n"/>
      <c r="AT143" s="27">
        <f>IF(AS143&gt;0, AO143/AS143, "")</f>
        <v/>
      </c>
    </row>
    <row r="144">
      <c r="A144" s="31">
        <f>WEEKNUM(B144,2)</f>
        <v/>
      </c>
      <c r="B144" s="30">
        <f>IFERROR(DATE($D$1, MONTH(I139), 1) - WEEKDAY(DATE($D$1, MONTH(I139), 1), 2) + 1 + 2*7 + 0, "")</f>
        <v/>
      </c>
      <c r="C144" s="30">
        <f>IFERROR(DATE($D$1, MONTH(I139), 1) - WEEKDAY(DATE($D$1, MONTH(I139), 1), 2) + 1 + 2*7 + 1, "")</f>
        <v/>
      </c>
      <c r="D144" s="30">
        <f>IFERROR(DATE($D$1, MONTH(I139), 1) - WEEKDAY(DATE($D$1, MONTH(I139), 1), 2) + 1 + 2*7 + 2, "")</f>
        <v/>
      </c>
      <c r="E144" s="30">
        <f>IFERROR(DATE($D$1, MONTH(I139), 1) - WEEKDAY(DATE($D$1, MONTH(I139), 1), 2) + 1 + 2*7 + 3, "")</f>
        <v/>
      </c>
      <c r="F144" s="30">
        <f>IFERROR(DATE($D$1, MONTH(I139), 1) - WEEKDAY(DATE($D$1, MONTH(I139), 1), 2) + 1 + 2*7 + 4, "")</f>
        <v/>
      </c>
      <c r="G144" s="30">
        <f>IFERROR(DATE($D$1, MONTH(I139), 1) - WEEKDAY(DATE($D$1, MONTH(I139), 1), 2) + 1 + 2*7 + 5, "")</f>
        <v/>
      </c>
      <c r="H144" s="30">
        <f>IFERROR(DATE($D$1, MONTH(I139), 1) - WEEKDAY(DATE($D$1, MONTH(I139), 1), 2) + 1 + 2*7 + 6, "")</f>
        <v/>
      </c>
      <c r="I144" s="6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38" t="n"/>
      <c r="AC144" s="38" t="n"/>
      <c r="AD144" s="38" t="n"/>
      <c r="AE144" s="38" t="n"/>
      <c r="AF144" s="38" t="n"/>
      <c r="AG144" s="38" t="n"/>
      <c r="AH144" s="38" t="n"/>
      <c r="AI144" s="38" t="n"/>
      <c r="AJ144" s="38" t="n"/>
      <c r="AK144" s="38" t="n"/>
      <c r="AL144" s="38" t="n"/>
      <c r="AM144" s="38" t="n"/>
      <c r="AN144" s="38" t="n"/>
      <c r="AO144" s="25">
        <f>SUM(J144:AN144)</f>
        <v/>
      </c>
      <c r="AQ144" s="25" t="n"/>
      <c r="AR144" s="25" t="n"/>
      <c r="AS144" s="26" t="n"/>
      <c r="AT144" s="27">
        <f>IF(AS144&gt;0, AO144/AS144, "")</f>
        <v/>
      </c>
    </row>
    <row r="145">
      <c r="A145" s="31">
        <f>WEEKNUM(B145,2)</f>
        <v/>
      </c>
      <c r="B145" s="30">
        <f>IFERROR(DATE($D$1, MONTH(I139), 1) - WEEKDAY(DATE($D$1, MONTH(I139), 1), 2) + 1 + 3*7 + 0, "")</f>
        <v/>
      </c>
      <c r="C145" s="30">
        <f>IFERROR(DATE($D$1, MONTH(I139), 1) - WEEKDAY(DATE($D$1, MONTH(I139), 1), 2) + 1 + 3*7 + 1, "")</f>
        <v/>
      </c>
      <c r="D145" s="30">
        <f>IFERROR(DATE($D$1, MONTH(I139), 1) - WEEKDAY(DATE($D$1, MONTH(I139), 1), 2) + 1 + 3*7 + 2, "")</f>
        <v/>
      </c>
      <c r="E145" s="30">
        <f>IFERROR(DATE($D$1, MONTH(I139), 1) - WEEKDAY(DATE($D$1, MONTH(I139), 1), 2) + 1 + 3*7 + 3, "")</f>
        <v/>
      </c>
      <c r="F145" s="30">
        <f>IFERROR(DATE($D$1, MONTH(I139), 1) - WEEKDAY(DATE($D$1, MONTH(I139), 1), 2) + 1 + 3*7 + 4, "")</f>
        <v/>
      </c>
      <c r="G145" s="30">
        <f>IFERROR(DATE($D$1, MONTH(I139), 1) - WEEKDAY(DATE($D$1, MONTH(I139), 1), 2) + 1 + 3*7 + 5, "")</f>
        <v/>
      </c>
      <c r="H145" s="30">
        <f>IFERROR(DATE($D$1, MONTH(I139), 1) - WEEKDAY(DATE($D$1, MONTH(I139), 1), 2) + 1 + 3*7 + 6, "")</f>
        <v/>
      </c>
      <c r="I145" s="6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n"/>
      <c r="AD145" s="38" t="n"/>
      <c r="AE145" s="38" t="n"/>
      <c r="AF145" s="38" t="n"/>
      <c r="AG145" s="38" t="n"/>
      <c r="AH145" s="38" t="n"/>
      <c r="AI145" s="38" t="n"/>
      <c r="AJ145" s="38" t="n"/>
      <c r="AK145" s="38" t="n"/>
      <c r="AL145" s="38" t="n"/>
      <c r="AM145" s="38" t="n"/>
      <c r="AN145" s="38" t="n"/>
      <c r="AO145" s="25">
        <f>SUM(J145:AN145)</f>
        <v/>
      </c>
      <c r="AQ145" s="25" t="n"/>
      <c r="AR145" s="25" t="n"/>
      <c r="AS145" s="26" t="n"/>
      <c r="AT145" s="27">
        <f>IF(AS145&gt;0, AO145/AS145, "")</f>
        <v/>
      </c>
    </row>
    <row r="146">
      <c r="A146" s="31">
        <f>WEEKNUM(B146,2)</f>
        <v/>
      </c>
      <c r="B146" s="30">
        <f>IFERROR(DATE($D$1, MONTH(I139), 1) - WEEKDAY(DATE($D$1, MONTH(I139), 1), 2) + 1 + 4*7 + 0, "")</f>
        <v/>
      </c>
      <c r="C146" s="30">
        <f>IFERROR(DATE($D$1, MONTH(I139), 1) - WEEKDAY(DATE($D$1, MONTH(I139), 1), 2) + 1 + 4*7 + 1, "")</f>
        <v/>
      </c>
      <c r="D146" s="30">
        <f>IFERROR(DATE($D$1, MONTH(I139), 1) - WEEKDAY(DATE($D$1, MONTH(I139), 1), 2) + 1 + 4*7 + 2, "")</f>
        <v/>
      </c>
      <c r="E146" s="30">
        <f>IFERROR(DATE($D$1, MONTH(I139), 1) - WEEKDAY(DATE($D$1, MONTH(I139), 1), 2) + 1 + 4*7 + 3, "")</f>
        <v/>
      </c>
      <c r="F146" s="30">
        <f>IFERROR(DATE($D$1, MONTH(I139), 1) - WEEKDAY(DATE($D$1, MONTH(I139), 1), 2) + 1 + 4*7 + 4, "")</f>
        <v/>
      </c>
      <c r="G146" s="30">
        <f>IFERROR(DATE($D$1, MONTH(I139), 1) - WEEKDAY(DATE($D$1, MONTH(I139), 1), 2) + 1 + 4*7 + 5, "")</f>
        <v/>
      </c>
      <c r="H146" s="30">
        <f>IFERROR(DATE($D$1, MONTH(I139), 1) - WEEKDAY(DATE($D$1, MONTH(I139), 1), 2) + 1 + 4*7 + 6, "")</f>
        <v/>
      </c>
      <c r="I146" s="6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38" t="n"/>
      <c r="AC146" s="38" t="n"/>
      <c r="AD146" s="38" t="n"/>
      <c r="AE146" s="38" t="n"/>
      <c r="AF146" s="38" t="n"/>
      <c r="AG146" s="38" t="n"/>
      <c r="AH146" s="38" t="n"/>
      <c r="AI146" s="38" t="n"/>
      <c r="AJ146" s="38" t="n"/>
      <c r="AK146" s="38" t="n"/>
      <c r="AL146" s="38" t="n"/>
      <c r="AM146" s="38" t="n"/>
      <c r="AN146" s="38" t="n"/>
      <c r="AO146" s="25">
        <f>SUM(J146:AN146)</f>
        <v/>
      </c>
      <c r="AQ146" s="25" t="n"/>
      <c r="AR146" s="25" t="n"/>
      <c r="AS146" s="26" t="n"/>
      <c r="AT146" s="27">
        <f>IF(AS146&gt;0, AO146/AS146, "")</f>
        <v/>
      </c>
    </row>
    <row r="147">
      <c r="A147" s="31">
        <f>WEEKNUM(B147,2)</f>
        <v/>
      </c>
      <c r="B147" s="30">
        <f>IFERROR(DATE($D$1, MONTH(I139), 1) - WEEKDAY(DATE($D$1, MONTH(I139), 1), 2) + 1 + 5*7 + 0, "")</f>
        <v/>
      </c>
      <c r="C147" s="30">
        <f>IFERROR(DATE($D$1, MONTH(I139), 1) - WEEKDAY(DATE($D$1, MONTH(I139), 1), 2) + 1 + 5*7 + 1, "")</f>
        <v/>
      </c>
      <c r="D147" s="30">
        <f>IFERROR(DATE($D$1, MONTH(I139), 1) - WEEKDAY(DATE($D$1, MONTH(I139), 1), 2) + 1 + 5*7 + 2, "")</f>
        <v/>
      </c>
      <c r="E147" s="30">
        <f>IFERROR(DATE($D$1, MONTH(I139), 1) - WEEKDAY(DATE($D$1, MONTH(I139), 1), 2) + 1 + 5*7 + 3, "")</f>
        <v/>
      </c>
      <c r="F147" s="30">
        <f>IFERROR(DATE($D$1, MONTH(I139), 1) - WEEKDAY(DATE($D$1, MONTH(I139), 1), 2) + 1 + 5*7 + 4, "")</f>
        <v/>
      </c>
      <c r="G147" s="30">
        <f>IFERROR(DATE($D$1, MONTH(I139), 1) - WEEKDAY(DATE($D$1, MONTH(I139), 1), 2) + 1 + 5*7 + 5, "")</f>
        <v/>
      </c>
      <c r="H147" s="30">
        <f>IFERROR(DATE($D$1, MONTH(I139), 1) - WEEKDAY(DATE($D$1, MONTH(I139), 1), 2) + 1 + 5*7 + 6, "")</f>
        <v/>
      </c>
      <c r="I147" s="6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n"/>
      <c r="AD147" s="38" t="n"/>
      <c r="AE147" s="38" t="n"/>
      <c r="AF147" s="38" t="n"/>
      <c r="AG147" s="38" t="n"/>
      <c r="AH147" s="38" t="n"/>
      <c r="AI147" s="38" t="n"/>
      <c r="AJ147" s="38" t="n"/>
      <c r="AK147" s="38" t="n"/>
      <c r="AL147" s="38" t="n"/>
      <c r="AM147" s="38" t="n"/>
      <c r="AN147" s="38" t="n"/>
      <c r="AO147" s="25">
        <f>SUM(J147:AN147)</f>
        <v/>
      </c>
      <c r="AQ147" s="25" t="n"/>
      <c r="AR147" s="25" t="n"/>
      <c r="AS147" s="26" t="n"/>
      <c r="AT147" s="27">
        <f>IF(AS147&gt;0, AO147/AS147, "")</f>
        <v/>
      </c>
    </row>
    <row r="148" hidden="1" s="69">
      <c r="A148" s="39" t="n"/>
      <c r="B148" s="40" t="n"/>
      <c r="C148" s="41" t="n"/>
      <c r="D148" s="41" t="n"/>
      <c r="E148" s="41" t="n"/>
      <c r="F148" s="41" t="n"/>
      <c r="G148" s="41" t="n"/>
      <c r="H148" s="41" t="n"/>
      <c r="I148" s="6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38" t="n"/>
      <c r="AC148" s="38" t="n"/>
      <c r="AD148" s="38" t="n"/>
      <c r="AE148" s="38" t="n"/>
      <c r="AF148" s="38" t="n"/>
      <c r="AG148" s="38" t="n"/>
      <c r="AH148" s="38" t="n"/>
      <c r="AI148" s="38" t="n"/>
      <c r="AJ148" s="38" t="n"/>
      <c r="AK148" s="38" t="n"/>
      <c r="AL148" s="38" t="n"/>
      <c r="AM148" s="38" t="n"/>
      <c r="AN148" s="38" t="n"/>
      <c r="AO148" s="25">
        <f>SUM(J148:AN148)</f>
        <v/>
      </c>
      <c r="AQ148" s="25" t="n"/>
      <c r="AR148" s="25" t="n"/>
      <c r="AS148" s="26" t="n"/>
      <c r="AT148" s="27">
        <f>IF(AS148&gt;0, AO148/AS148, "")</f>
        <v/>
      </c>
    </row>
    <row r="149" hidden="1" s="69">
      <c r="A149" s="39" t="n"/>
      <c r="B149" s="40" t="n"/>
      <c r="C149" s="41" t="n"/>
      <c r="D149" s="41" t="n"/>
      <c r="E149" s="41" t="n"/>
      <c r="F149" s="41" t="n"/>
      <c r="G149" s="41" t="n"/>
      <c r="H149" s="41" t="n"/>
      <c r="I149" s="6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n"/>
      <c r="AD149" s="38" t="n"/>
      <c r="AE149" s="38" t="n"/>
      <c r="AF149" s="38" t="n"/>
      <c r="AG149" s="38" t="n"/>
      <c r="AH149" s="38" t="n"/>
      <c r="AI149" s="38" t="n"/>
      <c r="AJ149" s="38" t="n"/>
      <c r="AK149" s="38" t="n"/>
      <c r="AL149" s="38" t="n"/>
      <c r="AM149" s="38" t="n"/>
      <c r="AN149" s="38" t="n"/>
      <c r="AO149" s="25">
        <f>SUM(J149:AN149)</f>
        <v/>
      </c>
      <c r="AQ149" s="25" t="n"/>
      <c r="AR149" s="25" t="n"/>
      <c r="AS149" s="26" t="n"/>
      <c r="AT149" s="27">
        <f>IF(AS149&gt;0, AO149/AS149, "")</f>
        <v/>
      </c>
    </row>
    <row r="150" hidden="1" s="69">
      <c r="A150" s="39" t="n"/>
      <c r="B150" s="40" t="n"/>
      <c r="C150" s="41" t="n"/>
      <c r="D150" s="41" t="n"/>
      <c r="E150" s="41" t="n"/>
      <c r="F150" s="41" t="n"/>
      <c r="G150" s="41" t="n"/>
      <c r="H150" s="41" t="n"/>
      <c r="I150" s="6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38" t="n"/>
      <c r="AC150" s="38" t="n"/>
      <c r="AD150" s="38" t="n"/>
      <c r="AE150" s="38" t="n"/>
      <c r="AF150" s="38" t="n"/>
      <c r="AG150" s="38" t="n"/>
      <c r="AH150" s="38" t="n"/>
      <c r="AI150" s="38" t="n"/>
      <c r="AJ150" s="38" t="n"/>
      <c r="AK150" s="38" t="n"/>
      <c r="AL150" s="38" t="n"/>
      <c r="AM150" s="38" t="n"/>
      <c r="AN150" s="38" t="n"/>
      <c r="AO150" s="25">
        <f>SUM(J150:AN150)</f>
        <v/>
      </c>
      <c r="AQ150" s="25" t="n"/>
      <c r="AR150" s="25" t="n"/>
      <c r="AS150" s="26" t="n"/>
      <c r="AT150" s="27">
        <f>IF(AS150&gt;0, AO150/AS150, "")</f>
        <v/>
      </c>
    </row>
    <row r="151" hidden="1" s="69">
      <c r="A151" s="39" t="n"/>
      <c r="B151" s="40" t="n"/>
      <c r="C151" s="41" t="n"/>
      <c r="D151" s="41" t="n"/>
      <c r="E151" s="41" t="n"/>
      <c r="F151" s="41" t="n"/>
      <c r="G151" s="41" t="n"/>
      <c r="H151" s="41" t="n"/>
      <c r="I151" s="6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n"/>
      <c r="AD151" s="38" t="n"/>
      <c r="AE151" s="38" t="n"/>
      <c r="AF151" s="38" t="n"/>
      <c r="AG151" s="38" t="n"/>
      <c r="AH151" s="38" t="n"/>
      <c r="AI151" s="38" t="n"/>
      <c r="AJ151" s="38" t="n"/>
      <c r="AK151" s="38" t="n"/>
      <c r="AL151" s="38" t="n"/>
      <c r="AM151" s="38" t="n"/>
      <c r="AN151" s="38" t="n"/>
      <c r="AO151" s="25">
        <f>SUM(J151:AN151)</f>
        <v/>
      </c>
      <c r="AQ151" s="25" t="n"/>
      <c r="AR151" s="25" t="n"/>
      <c r="AS151" s="26" t="n"/>
      <c r="AT151" s="27">
        <f>IF(AS151&gt;0, AO151/AS151, "")</f>
        <v/>
      </c>
    </row>
    <row r="152" hidden="1" s="69">
      <c r="A152" s="39" t="n"/>
      <c r="B152" s="40" t="n"/>
      <c r="C152" s="41" t="n"/>
      <c r="D152" s="41" t="n"/>
      <c r="E152" s="41" t="n"/>
      <c r="F152" s="41" t="n"/>
      <c r="G152" s="41" t="n"/>
      <c r="H152" s="41" t="n"/>
      <c r="I152" s="6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38" t="n"/>
      <c r="AC152" s="38" t="n"/>
      <c r="AD152" s="38" t="n"/>
      <c r="AE152" s="38" t="n"/>
      <c r="AF152" s="38" t="n"/>
      <c r="AG152" s="38" t="n"/>
      <c r="AH152" s="38" t="n"/>
      <c r="AI152" s="38" t="n"/>
      <c r="AJ152" s="38" t="n"/>
      <c r="AK152" s="38" t="n"/>
      <c r="AL152" s="38" t="n"/>
      <c r="AM152" s="38" t="n"/>
      <c r="AN152" s="38" t="n"/>
      <c r="AO152" s="25">
        <f>SUM(J152:AN152)</f>
        <v/>
      </c>
      <c r="AQ152" s="25" t="n"/>
      <c r="AR152" s="25" t="n"/>
      <c r="AS152" s="26" t="n"/>
      <c r="AT152" s="27">
        <f>IF(AS152&gt;0, AO152/AS152, "")</f>
        <v/>
      </c>
    </row>
    <row r="153" hidden="1" s="69">
      <c r="A153" s="39" t="n"/>
      <c r="B153" s="40" t="n"/>
      <c r="C153" s="41" t="n"/>
      <c r="D153" s="41" t="n"/>
      <c r="E153" s="41" t="n"/>
      <c r="F153" s="41" t="n"/>
      <c r="G153" s="41" t="n"/>
      <c r="H153" s="41" t="n"/>
      <c r="I153" s="6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n"/>
      <c r="AD153" s="38" t="n"/>
      <c r="AE153" s="38" t="n"/>
      <c r="AF153" s="38" t="n"/>
      <c r="AG153" s="38" t="n"/>
      <c r="AH153" s="38" t="n"/>
      <c r="AI153" s="38" t="n"/>
      <c r="AJ153" s="38" t="n"/>
      <c r="AK153" s="38" t="n"/>
      <c r="AL153" s="38" t="n"/>
      <c r="AM153" s="38" t="n"/>
      <c r="AN153" s="38" t="n"/>
      <c r="AO153" s="25">
        <f>SUM(J153:AN153)</f>
        <v/>
      </c>
      <c r="AQ153" s="25" t="n"/>
      <c r="AR153" s="25" t="n"/>
      <c r="AS153" s="26" t="n"/>
      <c r="AT153" s="27">
        <f>IF(AS153&gt;0, AO153/AS153, "")</f>
        <v/>
      </c>
    </row>
    <row r="154" hidden="1" s="69">
      <c r="A154" s="39" t="n"/>
      <c r="B154" s="40" t="n"/>
      <c r="C154" s="41" t="n"/>
      <c r="D154" s="41" t="n"/>
      <c r="E154" s="41" t="n"/>
      <c r="F154" s="41" t="n"/>
      <c r="G154" s="41" t="n"/>
      <c r="H154" s="41" t="n"/>
      <c r="I154" s="6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38" t="n"/>
      <c r="AC154" s="38" t="n"/>
      <c r="AD154" s="38" t="n"/>
      <c r="AE154" s="38" t="n"/>
      <c r="AF154" s="38" t="n"/>
      <c r="AG154" s="38" t="n"/>
      <c r="AH154" s="38" t="n"/>
      <c r="AI154" s="38" t="n"/>
      <c r="AJ154" s="38" t="n"/>
      <c r="AK154" s="38" t="n"/>
      <c r="AL154" s="38" t="n"/>
      <c r="AM154" s="38" t="n"/>
      <c r="AN154" s="38" t="n"/>
      <c r="AO154" s="25">
        <f>SUM(J154:AN154)</f>
        <v/>
      </c>
      <c r="AQ154" s="25" t="n"/>
      <c r="AR154" s="25" t="n"/>
      <c r="AS154" s="26" t="n"/>
      <c r="AT154" s="27">
        <f>IF(AS154&gt;0, AO154/AS154, "")</f>
        <v/>
      </c>
    </row>
    <row r="155" hidden="1" s="69">
      <c r="A155" s="39" t="n"/>
      <c r="B155" s="40" t="n"/>
      <c r="C155" s="41" t="n"/>
      <c r="D155" s="41" t="n"/>
      <c r="E155" s="41" t="n"/>
      <c r="F155" s="41" t="n"/>
      <c r="G155" s="41" t="n"/>
      <c r="H155" s="41" t="n"/>
      <c r="I155" s="6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n"/>
      <c r="AD155" s="38" t="n"/>
      <c r="AE155" s="38" t="n"/>
      <c r="AF155" s="38" t="n"/>
      <c r="AG155" s="38" t="n"/>
      <c r="AH155" s="38" t="n"/>
      <c r="AI155" s="38" t="n"/>
      <c r="AJ155" s="38" t="n"/>
      <c r="AK155" s="38" t="n"/>
      <c r="AL155" s="38" t="n"/>
      <c r="AM155" s="38" t="n"/>
      <c r="AN155" s="38" t="n"/>
      <c r="AO155" s="25">
        <f>SUM(J155:AN155)</f>
        <v/>
      </c>
      <c r="AQ155" s="25" t="n"/>
      <c r="AR155" s="25" t="n"/>
      <c r="AS155" s="26" t="n"/>
      <c r="AT155" s="27">
        <f>IF(AS155&gt;0, AO155/AS155, "")</f>
        <v/>
      </c>
    </row>
    <row r="156" hidden="1" s="69">
      <c r="A156" s="39" t="n"/>
      <c r="B156" s="40" t="n"/>
      <c r="C156" s="41" t="n"/>
      <c r="D156" s="41" t="n"/>
      <c r="E156" s="41" t="n"/>
      <c r="F156" s="41" t="n"/>
      <c r="G156" s="41" t="n"/>
      <c r="H156" s="41" t="n"/>
      <c r="I156" s="6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38" t="n"/>
      <c r="AC156" s="38" t="n"/>
      <c r="AD156" s="38" t="n"/>
      <c r="AE156" s="38" t="n"/>
      <c r="AF156" s="38" t="n"/>
      <c r="AG156" s="38" t="n"/>
      <c r="AH156" s="38" t="n"/>
      <c r="AI156" s="38" t="n"/>
      <c r="AJ156" s="38" t="n"/>
      <c r="AK156" s="38" t="n"/>
      <c r="AL156" s="38" t="n"/>
      <c r="AM156" s="38" t="n"/>
      <c r="AN156" s="38" t="n"/>
      <c r="AO156" s="25">
        <f>SUM(J156:AN156)</f>
        <v/>
      </c>
      <c r="AQ156" s="25" t="n"/>
      <c r="AR156" s="25" t="n"/>
      <c r="AS156" s="26" t="n"/>
      <c r="AT156" s="27">
        <f>IF(AS156&gt;0, AO156/AS156, "")</f>
        <v/>
      </c>
    </row>
    <row r="157" hidden="1" s="69">
      <c r="A157" s="39" t="n"/>
      <c r="B157" s="40" t="n"/>
      <c r="C157" s="41" t="n"/>
      <c r="D157" s="41" t="n"/>
      <c r="E157" s="41" t="n"/>
      <c r="F157" s="41" t="n"/>
      <c r="G157" s="41" t="n"/>
      <c r="H157" s="41" t="n"/>
      <c r="I157" s="6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n"/>
      <c r="AD157" s="38" t="n"/>
      <c r="AE157" s="38" t="n"/>
      <c r="AF157" s="38" t="n"/>
      <c r="AG157" s="38" t="n"/>
      <c r="AH157" s="38" t="n"/>
      <c r="AI157" s="38" t="n"/>
      <c r="AJ157" s="38" t="n"/>
      <c r="AK157" s="38" t="n"/>
      <c r="AL157" s="38" t="n"/>
      <c r="AM157" s="38" t="n"/>
      <c r="AN157" s="38" t="n"/>
      <c r="AO157" s="25">
        <f>SUM(J157:AN157)</f>
        <v/>
      </c>
      <c r="AQ157" s="25" t="n"/>
      <c r="AR157" s="25" t="n"/>
      <c r="AS157" s="26" t="n"/>
      <c r="AT157" s="27">
        <f>IF(AS157&gt;0, AO157/AS157, "")</f>
        <v/>
      </c>
    </row>
    <row r="158" hidden="1" s="69">
      <c r="A158" s="39" t="n"/>
      <c r="B158" s="40" t="n"/>
      <c r="C158" s="41" t="n"/>
      <c r="D158" s="41" t="n"/>
      <c r="E158" s="41" t="n"/>
      <c r="F158" s="41" t="n"/>
      <c r="G158" s="41" t="n"/>
      <c r="H158" s="41" t="n"/>
      <c r="I158" s="6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38" t="n"/>
      <c r="AC158" s="38" t="n"/>
      <c r="AD158" s="38" t="n"/>
      <c r="AE158" s="38" t="n"/>
      <c r="AF158" s="38" t="n"/>
      <c r="AG158" s="38" t="n"/>
      <c r="AH158" s="38" t="n"/>
      <c r="AI158" s="38" t="n"/>
      <c r="AJ158" s="38" t="n"/>
      <c r="AK158" s="38" t="n"/>
      <c r="AL158" s="38" t="n"/>
      <c r="AM158" s="38" t="n"/>
      <c r="AN158" s="38" t="n"/>
      <c r="AO158" s="25">
        <f>SUM(J158:AN158)</f>
        <v/>
      </c>
      <c r="AQ158" s="25" t="n"/>
      <c r="AR158" s="25" t="n"/>
      <c r="AS158" s="26" t="n"/>
      <c r="AT158" s="27">
        <f>IF(AS158&gt;0, AO158/AS158, "")</f>
        <v/>
      </c>
    </row>
    <row r="159" hidden="1" s="69">
      <c r="A159" s="39" t="n"/>
      <c r="B159" s="40" t="n"/>
      <c r="C159" s="41" t="n"/>
      <c r="D159" s="41" t="n"/>
      <c r="E159" s="41" t="n"/>
      <c r="F159" s="41" t="n"/>
      <c r="G159" s="41" t="n"/>
      <c r="H159" s="41" t="n"/>
      <c r="I159" s="6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n"/>
      <c r="AD159" s="38" t="n"/>
      <c r="AE159" s="38" t="n"/>
      <c r="AF159" s="38" t="n"/>
      <c r="AG159" s="38" t="n"/>
      <c r="AH159" s="38" t="n"/>
      <c r="AI159" s="38" t="n"/>
      <c r="AJ159" s="38" t="n"/>
      <c r="AK159" s="38" t="n"/>
      <c r="AL159" s="38" t="n"/>
      <c r="AM159" s="38" t="n"/>
      <c r="AN159" s="38" t="n"/>
      <c r="AO159" s="25">
        <f>SUM(J159:AN159)</f>
        <v/>
      </c>
      <c r="AQ159" s="25" t="n"/>
      <c r="AR159" s="25" t="n"/>
      <c r="AS159" s="26" t="n"/>
      <c r="AT159" s="27">
        <f>IF(AS159&gt;0, AO159/AS159, "")</f>
        <v/>
      </c>
    </row>
    <row r="160" hidden="1" s="69">
      <c r="A160" s="39" t="n"/>
      <c r="B160" s="40" t="n"/>
      <c r="C160" s="41" t="n"/>
      <c r="D160" s="41" t="n"/>
      <c r="E160" s="41" t="n"/>
      <c r="F160" s="41" t="n"/>
      <c r="G160" s="41" t="n"/>
      <c r="H160" s="41" t="n"/>
      <c r="I160" s="6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38" t="n"/>
      <c r="AC160" s="38" t="n"/>
      <c r="AD160" s="38" t="n"/>
      <c r="AE160" s="38" t="n"/>
      <c r="AF160" s="38" t="n"/>
      <c r="AG160" s="38" t="n"/>
      <c r="AH160" s="38" t="n"/>
      <c r="AI160" s="38" t="n"/>
      <c r="AJ160" s="38" t="n"/>
      <c r="AK160" s="38" t="n"/>
      <c r="AL160" s="38" t="n"/>
      <c r="AM160" s="38" t="n"/>
      <c r="AN160" s="38" t="n"/>
      <c r="AO160" s="25">
        <f>SUM(J160:AN160)</f>
        <v/>
      </c>
      <c r="AQ160" s="25" t="n"/>
      <c r="AR160" s="25" t="n"/>
      <c r="AS160" s="26" t="n"/>
      <c r="AT160" s="27">
        <f>IF(AS160&gt;0, AO160/AS160, "")</f>
        <v/>
      </c>
    </row>
    <row r="161">
      <c r="I161" s="45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  <c r="AF161" s="38" t="n"/>
      <c r="AG161" s="38" t="n"/>
      <c r="AH161" s="38" t="n"/>
      <c r="AI161" s="38" t="n"/>
      <c r="AJ161" s="38" t="n"/>
      <c r="AK161" s="38" t="n"/>
      <c r="AL161" s="38" t="n"/>
      <c r="AM161" s="38" t="n"/>
      <c r="AN161" s="38" t="n"/>
      <c r="AO161" s="38" t="n"/>
      <c r="AQ161" s="38" t="n"/>
      <c r="AR161" s="38" t="n"/>
      <c r="AS161" s="38" t="n"/>
      <c r="AT161" s="38" t="n"/>
    </row>
    <row r="162">
      <c r="A162" s="13" t="inlineStr">
        <is>
          <t>☀️</t>
        </is>
      </c>
      <c r="B162" s="13" t="inlineStr">
        <is>
          <t>AUGUST</t>
        </is>
      </c>
      <c r="I162" s="70">
        <f>DATE($D$1,8,1)</f>
        <v/>
      </c>
      <c r="J162" s="16">
        <f>I162</f>
        <v/>
      </c>
      <c r="K162" s="16">
        <f>J162+1</f>
        <v/>
      </c>
      <c r="L162" s="16">
        <f>K162+1</f>
        <v/>
      </c>
      <c r="M162" s="16">
        <f>L162+1</f>
        <v/>
      </c>
      <c r="N162" s="16">
        <f>M162+1</f>
        <v/>
      </c>
      <c r="O162" s="16">
        <f>N162+1</f>
        <v/>
      </c>
      <c r="P162" s="16">
        <f>O162+1</f>
        <v/>
      </c>
      <c r="Q162" s="16">
        <f>P162+1</f>
        <v/>
      </c>
      <c r="R162" s="16">
        <f>Q162+1</f>
        <v/>
      </c>
      <c r="S162" s="16">
        <f>R162+1</f>
        <v/>
      </c>
      <c r="T162" s="16">
        <f>S162+1</f>
        <v/>
      </c>
      <c r="U162" s="16">
        <f>T162+1</f>
        <v/>
      </c>
      <c r="V162" s="16">
        <f>U162+1</f>
        <v/>
      </c>
      <c r="W162" s="16">
        <f>V162+1</f>
        <v/>
      </c>
      <c r="X162" s="16">
        <f>W162+1</f>
        <v/>
      </c>
      <c r="Y162" s="16">
        <f>X162+1</f>
        <v/>
      </c>
      <c r="Z162" s="16">
        <f>Y162+1</f>
        <v/>
      </c>
      <c r="AA162" s="16">
        <f>Z162+1</f>
        <v/>
      </c>
      <c r="AB162" s="16">
        <f>AA162+1</f>
        <v/>
      </c>
      <c r="AC162" s="16">
        <f>AB162+1</f>
        <v/>
      </c>
      <c r="AD162" s="16">
        <f>AC162+1</f>
        <v/>
      </c>
      <c r="AE162" s="16">
        <f>AD162+1</f>
        <v/>
      </c>
      <c r="AF162" s="16">
        <f>AE162+1</f>
        <v/>
      </c>
      <c r="AG162" s="16">
        <f>AF162+1</f>
        <v/>
      </c>
      <c r="AH162" s="16">
        <f>AG162+1</f>
        <v/>
      </c>
      <c r="AI162" s="16">
        <f>AH162+1</f>
        <v/>
      </c>
      <c r="AJ162" s="16">
        <f>AI162+1</f>
        <v/>
      </c>
      <c r="AK162" s="16">
        <f>AJ162+1</f>
        <v/>
      </c>
      <c r="AL162" s="16">
        <f>AK162+1</f>
        <v/>
      </c>
      <c r="AM162" s="16">
        <f>AL162+1</f>
        <v/>
      </c>
      <c r="AN162" s="16">
        <f>AM162+1</f>
        <v/>
      </c>
      <c r="AO162" s="17" t="inlineStr">
        <is>
          <t>TOTAL</t>
        </is>
      </c>
      <c r="AQ162" s="18" t="inlineStr">
        <is>
          <t>current streak 🔥</t>
        </is>
      </c>
      <c r="AR162" s="18" t="inlineStr">
        <is>
          <t>longest streak😼</t>
        </is>
      </c>
      <c r="AS162" s="18" t="inlineStr">
        <is>
          <t>Goal🔢</t>
        </is>
      </c>
      <c r="AT162" s="18" t="inlineStr">
        <is>
          <t>Progress
📈</t>
        </is>
      </c>
    </row>
    <row r="163" ht="15" customHeight="1" s="69">
      <c r="A163" s="34" t="n"/>
      <c r="B163" s="34" t="n"/>
      <c r="I163" s="35" t="n"/>
      <c r="J163" s="36">
        <f>J162</f>
        <v/>
      </c>
      <c r="K163" s="36">
        <f>K162</f>
        <v/>
      </c>
      <c r="L163" s="36">
        <f>L162</f>
        <v/>
      </c>
      <c r="M163" s="36">
        <f>M162</f>
        <v/>
      </c>
      <c r="N163" s="36">
        <f>N162</f>
        <v/>
      </c>
      <c r="O163" s="36">
        <f>O162</f>
        <v/>
      </c>
      <c r="P163" s="36">
        <f>P162</f>
        <v/>
      </c>
      <c r="Q163" s="36">
        <f>Q162</f>
        <v/>
      </c>
      <c r="R163" s="36">
        <f>R162</f>
        <v/>
      </c>
      <c r="S163" s="36">
        <f>S162</f>
        <v/>
      </c>
      <c r="T163" s="36">
        <f>T162</f>
        <v/>
      </c>
      <c r="U163" s="36">
        <f>U162</f>
        <v/>
      </c>
      <c r="V163" s="36">
        <f>V162</f>
        <v/>
      </c>
      <c r="W163" s="36">
        <f>W162</f>
        <v/>
      </c>
      <c r="X163" s="36">
        <f>X162</f>
        <v/>
      </c>
      <c r="Y163" s="36">
        <f>Y162</f>
        <v/>
      </c>
      <c r="Z163" s="36">
        <f>Z162</f>
        <v/>
      </c>
      <c r="AA163" s="36">
        <f>AA162</f>
        <v/>
      </c>
      <c r="AB163" s="36">
        <f>AB162</f>
        <v/>
      </c>
      <c r="AC163" s="36">
        <f>AC162</f>
        <v/>
      </c>
      <c r="AD163" s="36">
        <f>AD162</f>
        <v/>
      </c>
      <c r="AE163" s="36">
        <f>AE162</f>
        <v/>
      </c>
      <c r="AF163" s="36">
        <f>AF162</f>
        <v/>
      </c>
      <c r="AG163" s="36">
        <f>AG162</f>
        <v/>
      </c>
      <c r="AH163" s="36">
        <f>AH162</f>
        <v/>
      </c>
      <c r="AI163" s="36">
        <f>AI162</f>
        <v/>
      </c>
      <c r="AJ163" s="36">
        <f>AJ162</f>
        <v/>
      </c>
      <c r="AK163" s="36">
        <f>AK162</f>
        <v/>
      </c>
      <c r="AL163" s="36">
        <f>AL162</f>
        <v/>
      </c>
      <c r="AM163" s="36">
        <f>AM162</f>
        <v/>
      </c>
      <c r="AN163" s="36">
        <f>AN162</f>
        <v/>
      </c>
    </row>
    <row r="164">
      <c r="A164" s="22" t="n"/>
      <c r="B164" s="52" t="inlineStr">
        <is>
          <t>Пн</t>
        </is>
      </c>
      <c r="C164" s="52" t="inlineStr">
        <is>
          <t>Вт</t>
        </is>
      </c>
      <c r="D164" s="52" t="inlineStr">
        <is>
          <t>Ср</t>
        </is>
      </c>
      <c r="E164" s="52" t="inlineStr">
        <is>
          <t>Чт</t>
        </is>
      </c>
      <c r="F164" s="52" t="inlineStr">
        <is>
          <t>Пт</t>
        </is>
      </c>
      <c r="G164" s="52" t="inlineStr">
        <is>
          <t>Сб</t>
        </is>
      </c>
      <c r="H164" s="52" t="inlineStr">
        <is>
          <t>Вс</t>
        </is>
      </c>
      <c r="I164" s="6">
        <f>ARRAYFORMULA(Setup!B3:B22)</f>
        <v/>
      </c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38" t="n"/>
      <c r="AC164" s="38" t="n"/>
      <c r="AD164" s="38" t="n"/>
      <c r="AE164" s="38" t="n"/>
      <c r="AF164" s="38" t="n"/>
      <c r="AG164" s="38" t="n"/>
      <c r="AH164" s="38" t="n"/>
      <c r="AI164" s="38" t="n"/>
      <c r="AJ164" s="38" t="n"/>
      <c r="AK164" s="38" t="n"/>
      <c r="AL164" s="38" t="n"/>
      <c r="AM164" s="38" t="n"/>
      <c r="AN164" s="38" t="n"/>
      <c r="AO164" s="25">
        <f>SUM(J164:AN164)</f>
        <v/>
      </c>
      <c r="AQ164" s="25" t="n"/>
      <c r="AR164" s="25" t="n"/>
      <c r="AS164" s="26" t="n"/>
      <c r="AT164" s="27">
        <f>IF(AS164&gt;0, AO164/AS164, "")</f>
        <v/>
      </c>
    </row>
    <row r="165">
      <c r="A165" s="28">
        <f>WEEKNUM(B165,2)</f>
        <v/>
      </c>
      <c r="B165" s="29">
        <f>IFERROR(DATE($D$1, MONTH(I162), 1) - WEEKDAY(DATE($D$1, MONTH(I162), 1), 2) + 1 + 0*7 + 0, "")</f>
        <v/>
      </c>
      <c r="C165" s="30">
        <f>IFERROR(DATE($D$1, MONTH(I162), 1) - WEEKDAY(DATE($D$1, MONTH(I162), 1), 2) + 1 + 0*7 + 1, "")</f>
        <v/>
      </c>
      <c r="D165" s="30">
        <f>IFERROR(DATE($D$1, MONTH(I162), 1) - WEEKDAY(DATE($D$1, MONTH(I162), 1), 2) + 1 + 0*7 + 2, "")</f>
        <v/>
      </c>
      <c r="E165" s="30">
        <f>IFERROR(DATE($D$1, MONTH(I162), 1) - WEEKDAY(DATE($D$1, MONTH(I162), 1), 2) + 1 + 0*7 + 3, "")</f>
        <v/>
      </c>
      <c r="F165" s="30">
        <f>IFERROR(DATE($D$1, MONTH(I162), 1) - WEEKDAY(DATE($D$1, MONTH(I162), 1), 2) + 1 + 0*7 + 4, "")</f>
        <v/>
      </c>
      <c r="G165" s="30">
        <f>IFERROR(DATE($D$1, MONTH(I162), 1) - WEEKDAY(DATE($D$1, MONTH(I162), 1), 2) + 1 + 0*7 + 5, "")</f>
        <v/>
      </c>
      <c r="H165" s="30">
        <f>IFERROR(DATE($D$1, MONTH(I162), 1) - WEEKDAY(DATE($D$1, MONTH(I162), 1), 2) + 1 + 0*7 + 6, "")</f>
        <v/>
      </c>
      <c r="I165" s="6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n"/>
      <c r="AD165" s="38" t="n"/>
      <c r="AE165" s="38" t="n"/>
      <c r="AF165" s="38" t="n"/>
      <c r="AG165" s="38" t="n"/>
      <c r="AH165" s="38" t="n"/>
      <c r="AI165" s="38" t="n"/>
      <c r="AJ165" s="38" t="n"/>
      <c r="AK165" s="38" t="n"/>
      <c r="AL165" s="38" t="n"/>
      <c r="AM165" s="38" t="n"/>
      <c r="AN165" s="38" t="n"/>
      <c r="AO165" s="25">
        <f>SUM(J165:AN165)</f>
        <v/>
      </c>
      <c r="AQ165" s="25" t="n"/>
      <c r="AR165" s="25" t="n"/>
      <c r="AS165" s="26" t="n"/>
      <c r="AT165" s="27">
        <f>IF(AS165&gt;0, AO165/AS165, "")</f>
        <v/>
      </c>
    </row>
    <row r="166">
      <c r="A166" s="31">
        <f>WEEKNUM(B166,2)</f>
        <v/>
      </c>
      <c r="B166" s="30">
        <f>IFERROR(DATE($D$1, MONTH(I162), 1) - WEEKDAY(DATE($D$1, MONTH(I162), 1), 2) + 1 + 1*7 + 0, "")</f>
        <v/>
      </c>
      <c r="C166" s="30">
        <f>IFERROR(DATE($D$1, MONTH(I162), 1) - WEEKDAY(DATE($D$1, MONTH(I162), 1), 2) + 1 + 1*7 + 1, "")</f>
        <v/>
      </c>
      <c r="D166" s="30">
        <f>IFERROR(DATE($D$1, MONTH(I162), 1) - WEEKDAY(DATE($D$1, MONTH(I162), 1), 2) + 1 + 1*7 + 2, "")</f>
        <v/>
      </c>
      <c r="E166" s="30">
        <f>IFERROR(DATE($D$1, MONTH(I162), 1) - WEEKDAY(DATE($D$1, MONTH(I162), 1), 2) + 1 + 1*7 + 3, "")</f>
        <v/>
      </c>
      <c r="F166" s="30">
        <f>IFERROR(DATE($D$1, MONTH(I162), 1) - WEEKDAY(DATE($D$1, MONTH(I162), 1), 2) + 1 + 1*7 + 4, "")</f>
        <v/>
      </c>
      <c r="G166" s="30">
        <f>IFERROR(DATE($D$1, MONTH(I162), 1) - WEEKDAY(DATE($D$1, MONTH(I162), 1), 2) + 1 + 1*7 + 5, "")</f>
        <v/>
      </c>
      <c r="H166" s="30">
        <f>IFERROR(DATE($D$1, MONTH(I162), 1) - WEEKDAY(DATE($D$1, MONTH(I162), 1), 2) + 1 + 1*7 + 6, "")</f>
        <v/>
      </c>
      <c r="I166" s="6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38" t="n"/>
      <c r="AC166" s="38" t="n"/>
      <c r="AD166" s="38" t="n"/>
      <c r="AE166" s="38" t="n"/>
      <c r="AF166" s="38" t="n"/>
      <c r="AG166" s="38" t="n"/>
      <c r="AH166" s="38" t="n"/>
      <c r="AI166" s="38" t="n"/>
      <c r="AJ166" s="38" t="n"/>
      <c r="AK166" s="38" t="n"/>
      <c r="AL166" s="38" t="n"/>
      <c r="AM166" s="38" t="n"/>
      <c r="AN166" s="38" t="n"/>
      <c r="AO166" s="25">
        <f>SUM(J166:AN166)</f>
        <v/>
      </c>
      <c r="AQ166" s="25" t="n"/>
      <c r="AR166" s="25" t="n"/>
      <c r="AS166" s="26" t="n"/>
      <c r="AT166" s="27">
        <f>IF(AS166&gt;0, AO166/AS166, "")</f>
        <v/>
      </c>
    </row>
    <row r="167">
      <c r="A167" s="31">
        <f>WEEKNUM(B167,2)</f>
        <v/>
      </c>
      <c r="B167" s="30">
        <f>IFERROR(DATE($D$1, MONTH(I162), 1) - WEEKDAY(DATE($D$1, MONTH(I162), 1), 2) + 1 + 2*7 + 0, "")</f>
        <v/>
      </c>
      <c r="C167" s="30">
        <f>IFERROR(DATE($D$1, MONTH(I162), 1) - WEEKDAY(DATE($D$1, MONTH(I162), 1), 2) + 1 + 2*7 + 1, "")</f>
        <v/>
      </c>
      <c r="D167" s="30">
        <f>IFERROR(DATE($D$1, MONTH(I162), 1) - WEEKDAY(DATE($D$1, MONTH(I162), 1), 2) + 1 + 2*7 + 2, "")</f>
        <v/>
      </c>
      <c r="E167" s="30">
        <f>IFERROR(DATE($D$1, MONTH(I162), 1) - WEEKDAY(DATE($D$1, MONTH(I162), 1), 2) + 1 + 2*7 + 3, "")</f>
        <v/>
      </c>
      <c r="F167" s="30">
        <f>IFERROR(DATE($D$1, MONTH(I162), 1) - WEEKDAY(DATE($D$1, MONTH(I162), 1), 2) + 1 + 2*7 + 4, "")</f>
        <v/>
      </c>
      <c r="G167" s="30">
        <f>IFERROR(DATE($D$1, MONTH(I162), 1) - WEEKDAY(DATE($D$1, MONTH(I162), 1), 2) + 1 + 2*7 + 5, "")</f>
        <v/>
      </c>
      <c r="H167" s="30">
        <f>IFERROR(DATE($D$1, MONTH(I162), 1) - WEEKDAY(DATE($D$1, MONTH(I162), 1), 2) + 1 + 2*7 + 6, "")</f>
        <v/>
      </c>
      <c r="I167" s="6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n"/>
      <c r="AD167" s="38" t="n"/>
      <c r="AE167" s="38" t="n"/>
      <c r="AF167" s="38" t="n"/>
      <c r="AG167" s="38" t="n"/>
      <c r="AH167" s="38" t="n"/>
      <c r="AI167" s="38" t="n"/>
      <c r="AJ167" s="38" t="n"/>
      <c r="AK167" s="38" t="n"/>
      <c r="AL167" s="38" t="n"/>
      <c r="AM167" s="38" t="n"/>
      <c r="AN167" s="38" t="n"/>
      <c r="AO167" s="25">
        <f>SUM(J167:AN167)</f>
        <v/>
      </c>
      <c r="AQ167" s="25" t="n"/>
      <c r="AR167" s="25" t="n"/>
      <c r="AS167" s="26" t="n"/>
      <c r="AT167" s="27">
        <f>IF(AS167&gt;0, AO167/AS167, "")</f>
        <v/>
      </c>
    </row>
    <row r="168">
      <c r="A168" s="31">
        <f>WEEKNUM(B168,2)</f>
        <v/>
      </c>
      <c r="B168" s="30">
        <f>IFERROR(DATE($D$1, MONTH(I162), 1) - WEEKDAY(DATE($D$1, MONTH(I162), 1), 2) + 1 + 3*7 + 0, "")</f>
        <v/>
      </c>
      <c r="C168" s="30">
        <f>IFERROR(DATE($D$1, MONTH(I162), 1) - WEEKDAY(DATE($D$1, MONTH(I162), 1), 2) + 1 + 3*7 + 1, "")</f>
        <v/>
      </c>
      <c r="D168" s="30">
        <f>IFERROR(DATE($D$1, MONTH(I162), 1) - WEEKDAY(DATE($D$1, MONTH(I162), 1), 2) + 1 + 3*7 + 2, "")</f>
        <v/>
      </c>
      <c r="E168" s="30">
        <f>IFERROR(DATE($D$1, MONTH(I162), 1) - WEEKDAY(DATE($D$1, MONTH(I162), 1), 2) + 1 + 3*7 + 3, "")</f>
        <v/>
      </c>
      <c r="F168" s="30">
        <f>IFERROR(DATE($D$1, MONTH(I162), 1) - WEEKDAY(DATE($D$1, MONTH(I162), 1), 2) + 1 + 3*7 + 4, "")</f>
        <v/>
      </c>
      <c r="G168" s="30">
        <f>IFERROR(DATE($D$1, MONTH(I162), 1) - WEEKDAY(DATE($D$1, MONTH(I162), 1), 2) + 1 + 3*7 + 5, "")</f>
        <v/>
      </c>
      <c r="H168" s="30">
        <f>IFERROR(DATE($D$1, MONTH(I162), 1) - WEEKDAY(DATE($D$1, MONTH(I162), 1), 2) + 1 + 3*7 + 6, "")</f>
        <v/>
      </c>
      <c r="I168" s="6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38" t="n"/>
      <c r="AC168" s="38" t="n"/>
      <c r="AD168" s="38" t="n"/>
      <c r="AE168" s="38" t="n"/>
      <c r="AF168" s="38" t="n"/>
      <c r="AG168" s="38" t="n"/>
      <c r="AH168" s="38" t="n"/>
      <c r="AI168" s="38" t="n"/>
      <c r="AJ168" s="38" t="n"/>
      <c r="AK168" s="38" t="n"/>
      <c r="AL168" s="38" t="n"/>
      <c r="AM168" s="38" t="n"/>
      <c r="AN168" s="38" t="n"/>
      <c r="AO168" s="25">
        <f>SUM(J168:AN168)</f>
        <v/>
      </c>
      <c r="AQ168" s="25" t="n"/>
      <c r="AR168" s="25" t="n"/>
      <c r="AS168" s="26" t="n"/>
      <c r="AT168" s="27">
        <f>IF(AS168&gt;0, AO168/AS168, "")</f>
        <v/>
      </c>
    </row>
    <row r="169">
      <c r="A169" s="31">
        <f>WEEKNUM(B169,2)</f>
        <v/>
      </c>
      <c r="B169" s="30">
        <f>IFERROR(DATE($D$1, MONTH(I162), 1) - WEEKDAY(DATE($D$1, MONTH(I162), 1), 2) + 1 + 4*7 + 0, "")</f>
        <v/>
      </c>
      <c r="C169" s="30">
        <f>IFERROR(DATE($D$1, MONTH(I162), 1) - WEEKDAY(DATE($D$1, MONTH(I162), 1), 2) + 1 + 4*7 + 1, "")</f>
        <v/>
      </c>
      <c r="D169" s="30">
        <f>IFERROR(DATE($D$1, MONTH(I162), 1) - WEEKDAY(DATE($D$1, MONTH(I162), 1), 2) + 1 + 4*7 + 2, "")</f>
        <v/>
      </c>
      <c r="E169" s="30">
        <f>IFERROR(DATE($D$1, MONTH(I162), 1) - WEEKDAY(DATE($D$1, MONTH(I162), 1), 2) + 1 + 4*7 + 3, "")</f>
        <v/>
      </c>
      <c r="F169" s="30">
        <f>IFERROR(DATE($D$1, MONTH(I162), 1) - WEEKDAY(DATE($D$1, MONTH(I162), 1), 2) + 1 + 4*7 + 4, "")</f>
        <v/>
      </c>
      <c r="G169" s="30">
        <f>IFERROR(DATE($D$1, MONTH(I162), 1) - WEEKDAY(DATE($D$1, MONTH(I162), 1), 2) + 1 + 4*7 + 5, "")</f>
        <v/>
      </c>
      <c r="H169" s="30">
        <f>IFERROR(DATE($D$1, MONTH(I162), 1) - WEEKDAY(DATE($D$1, MONTH(I162), 1), 2) + 1 + 4*7 + 6, "")</f>
        <v/>
      </c>
      <c r="I169" s="6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n"/>
      <c r="AD169" s="38" t="n"/>
      <c r="AE169" s="38" t="n"/>
      <c r="AF169" s="38" t="n"/>
      <c r="AG169" s="38" t="n"/>
      <c r="AH169" s="38" t="n"/>
      <c r="AI169" s="38" t="n"/>
      <c r="AJ169" s="38" t="n"/>
      <c r="AK169" s="38" t="n"/>
      <c r="AL169" s="38" t="n"/>
      <c r="AM169" s="38" t="n"/>
      <c r="AN169" s="38" t="n"/>
      <c r="AO169" s="25">
        <f>SUM(J169:AN169)</f>
        <v/>
      </c>
      <c r="AQ169" s="25" t="n"/>
      <c r="AR169" s="25" t="n"/>
      <c r="AS169" s="26" t="n"/>
      <c r="AT169" s="27">
        <f>IF(AS169&gt;0, AO169/AS169, "")</f>
        <v/>
      </c>
    </row>
    <row r="170">
      <c r="A170" s="31">
        <f>WEEKNUM(B170,2)</f>
        <v/>
      </c>
      <c r="B170" s="30">
        <f>IFERROR(DATE($D$1, MONTH(I162), 1) - WEEKDAY(DATE($D$1, MONTH(I162), 1), 2) + 1 + 5*7 + 0, "")</f>
        <v/>
      </c>
      <c r="C170" s="30">
        <f>IFERROR(DATE($D$1, MONTH(I162), 1) - WEEKDAY(DATE($D$1, MONTH(I162), 1), 2) + 1 + 5*7 + 1, "")</f>
        <v/>
      </c>
      <c r="D170" s="30">
        <f>IFERROR(DATE($D$1, MONTH(I162), 1) - WEEKDAY(DATE($D$1, MONTH(I162), 1), 2) + 1 + 5*7 + 2, "")</f>
        <v/>
      </c>
      <c r="E170" s="30">
        <f>IFERROR(DATE($D$1, MONTH(I162), 1) - WEEKDAY(DATE($D$1, MONTH(I162), 1), 2) + 1 + 5*7 + 3, "")</f>
        <v/>
      </c>
      <c r="F170" s="30">
        <f>IFERROR(DATE($D$1, MONTH(I162), 1) - WEEKDAY(DATE($D$1, MONTH(I162), 1), 2) + 1 + 5*7 + 4, "")</f>
        <v/>
      </c>
      <c r="G170" s="30">
        <f>IFERROR(DATE($D$1, MONTH(I162), 1) - WEEKDAY(DATE($D$1, MONTH(I162), 1), 2) + 1 + 5*7 + 5, "")</f>
        <v/>
      </c>
      <c r="H170" s="30">
        <f>IFERROR(DATE($D$1, MONTH(I162), 1) - WEEKDAY(DATE($D$1, MONTH(I162), 1), 2) + 1 + 5*7 + 6, "")</f>
        <v/>
      </c>
      <c r="I170" s="6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38" t="n"/>
      <c r="AC170" s="38" t="n"/>
      <c r="AD170" s="38" t="n"/>
      <c r="AE170" s="38" t="n"/>
      <c r="AF170" s="38" t="n"/>
      <c r="AG170" s="38" t="n"/>
      <c r="AH170" s="38" t="n"/>
      <c r="AI170" s="38" t="n"/>
      <c r="AJ170" s="38" t="n"/>
      <c r="AK170" s="38" t="n"/>
      <c r="AL170" s="38" t="n"/>
      <c r="AM170" s="38" t="n"/>
      <c r="AN170" s="38" t="n"/>
      <c r="AO170" s="25">
        <f>SUM(J170:AN170)</f>
        <v/>
      </c>
      <c r="AQ170" s="25" t="n"/>
      <c r="AR170" s="25" t="n"/>
      <c r="AS170" s="26" t="n"/>
      <c r="AT170" s="27">
        <f>IF(AS170&gt;0, AO170/AS170, "")</f>
        <v/>
      </c>
    </row>
    <row r="171" hidden="1" s="69">
      <c r="A171" s="39" t="n"/>
      <c r="B171" s="40" t="n"/>
      <c r="C171" s="40" t="n"/>
      <c r="D171" s="40" t="n"/>
      <c r="E171" s="40" t="n"/>
      <c r="F171" s="41" t="n"/>
      <c r="G171" s="41" t="n"/>
      <c r="H171" s="41" t="n"/>
      <c r="I171" s="6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n"/>
      <c r="AD171" s="38" t="n"/>
      <c r="AE171" s="38" t="n"/>
      <c r="AF171" s="38" t="n"/>
      <c r="AG171" s="38" t="n"/>
      <c r="AH171" s="38" t="n"/>
      <c r="AI171" s="38" t="n"/>
      <c r="AJ171" s="38" t="n"/>
      <c r="AK171" s="38" t="n"/>
      <c r="AL171" s="38" t="n"/>
      <c r="AM171" s="38" t="n"/>
      <c r="AN171" s="38" t="n"/>
      <c r="AO171" s="25">
        <f>SUM(J171:AN171)</f>
        <v/>
      </c>
      <c r="AQ171" s="25" t="n"/>
      <c r="AR171" s="25" t="n"/>
      <c r="AS171" s="26" t="n"/>
      <c r="AT171" s="27">
        <f>IF(AS171&gt;0, AO171/AS171, "")</f>
        <v/>
      </c>
    </row>
    <row r="172" hidden="1" s="69">
      <c r="A172" s="39" t="n"/>
      <c r="B172" s="40" t="n"/>
      <c r="C172" s="40" t="n"/>
      <c r="D172" s="40" t="n"/>
      <c r="E172" s="40" t="n"/>
      <c r="F172" s="41" t="n"/>
      <c r="G172" s="41" t="n"/>
      <c r="H172" s="41" t="n"/>
      <c r="I172" s="6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38" t="n"/>
      <c r="AC172" s="38" t="n"/>
      <c r="AD172" s="38" t="n"/>
      <c r="AE172" s="38" t="n"/>
      <c r="AF172" s="38" t="n"/>
      <c r="AG172" s="38" t="n"/>
      <c r="AH172" s="38" t="n"/>
      <c r="AI172" s="38" t="n"/>
      <c r="AJ172" s="38" t="n"/>
      <c r="AK172" s="38" t="n"/>
      <c r="AL172" s="38" t="n"/>
      <c r="AM172" s="38" t="n"/>
      <c r="AN172" s="38" t="n"/>
      <c r="AO172" s="25">
        <f>SUM(J172:AN172)</f>
        <v/>
      </c>
      <c r="AQ172" s="25" t="n"/>
      <c r="AR172" s="25" t="n"/>
      <c r="AS172" s="26" t="n"/>
      <c r="AT172" s="27">
        <f>IF(AS172&gt;0, AO172/AS172, "")</f>
        <v/>
      </c>
    </row>
    <row r="173" hidden="1" s="69">
      <c r="A173" s="39" t="n"/>
      <c r="B173" s="40" t="n"/>
      <c r="C173" s="40" t="n"/>
      <c r="D173" s="40" t="n"/>
      <c r="E173" s="40" t="n"/>
      <c r="F173" s="41" t="n"/>
      <c r="G173" s="41" t="n"/>
      <c r="H173" s="41" t="n"/>
      <c r="I173" s="6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n"/>
      <c r="AD173" s="38" t="n"/>
      <c r="AE173" s="38" t="n"/>
      <c r="AF173" s="38" t="n"/>
      <c r="AG173" s="38" t="n"/>
      <c r="AH173" s="38" t="n"/>
      <c r="AI173" s="38" t="n"/>
      <c r="AJ173" s="38" t="n"/>
      <c r="AK173" s="38" t="n"/>
      <c r="AL173" s="38" t="n"/>
      <c r="AM173" s="38" t="n"/>
      <c r="AN173" s="38" t="n"/>
      <c r="AO173" s="25">
        <f>SUM(J173:AN173)</f>
        <v/>
      </c>
      <c r="AQ173" s="25" t="n"/>
      <c r="AR173" s="25" t="n"/>
      <c r="AS173" s="26" t="n"/>
      <c r="AT173" s="27">
        <f>IF(AS173&gt;0, AO173/AS173, "")</f>
        <v/>
      </c>
    </row>
    <row r="174" hidden="1" s="69">
      <c r="A174" s="39" t="n"/>
      <c r="B174" s="40" t="n"/>
      <c r="C174" s="40" t="n"/>
      <c r="D174" s="40" t="n"/>
      <c r="E174" s="40" t="n"/>
      <c r="F174" s="41" t="n"/>
      <c r="G174" s="41" t="n"/>
      <c r="H174" s="41" t="n"/>
      <c r="I174" s="6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38" t="n"/>
      <c r="AC174" s="38" t="n"/>
      <c r="AD174" s="38" t="n"/>
      <c r="AE174" s="38" t="n"/>
      <c r="AF174" s="38" t="n"/>
      <c r="AG174" s="38" t="n"/>
      <c r="AH174" s="38" t="n"/>
      <c r="AI174" s="38" t="n"/>
      <c r="AJ174" s="38" t="n"/>
      <c r="AK174" s="38" t="n"/>
      <c r="AL174" s="38" t="n"/>
      <c r="AM174" s="38" t="n"/>
      <c r="AN174" s="38" t="n"/>
      <c r="AO174" s="25">
        <f>SUM(J174:AN174)</f>
        <v/>
      </c>
      <c r="AQ174" s="25" t="n"/>
      <c r="AR174" s="25" t="n"/>
      <c r="AS174" s="26" t="n"/>
      <c r="AT174" s="27">
        <f>IF(AS174&gt;0, AO174/AS174, "")</f>
        <v/>
      </c>
    </row>
    <row r="175" hidden="1" s="69">
      <c r="A175" s="39" t="n"/>
      <c r="B175" s="40" t="n"/>
      <c r="C175" s="40" t="n"/>
      <c r="D175" s="40" t="n"/>
      <c r="E175" s="40" t="n"/>
      <c r="F175" s="41" t="n"/>
      <c r="G175" s="41" t="n"/>
      <c r="H175" s="41" t="n"/>
      <c r="I175" s="6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n"/>
      <c r="AD175" s="38" t="n"/>
      <c r="AE175" s="38" t="n"/>
      <c r="AF175" s="38" t="n"/>
      <c r="AG175" s="38" t="n"/>
      <c r="AH175" s="38" t="n"/>
      <c r="AI175" s="38" t="n"/>
      <c r="AJ175" s="38" t="n"/>
      <c r="AK175" s="38" t="n"/>
      <c r="AL175" s="38" t="n"/>
      <c r="AM175" s="38" t="n"/>
      <c r="AN175" s="38" t="n"/>
      <c r="AO175" s="25">
        <f>SUM(J175:AN175)</f>
        <v/>
      </c>
      <c r="AQ175" s="25" t="n"/>
      <c r="AR175" s="25" t="n"/>
      <c r="AS175" s="26" t="n"/>
      <c r="AT175" s="27">
        <f>IF(AS175&gt;0, AO175/AS175, "")</f>
        <v/>
      </c>
    </row>
    <row r="176" hidden="1" s="69">
      <c r="A176" s="39" t="n"/>
      <c r="B176" s="40" t="n"/>
      <c r="C176" s="40" t="n"/>
      <c r="D176" s="40" t="n"/>
      <c r="E176" s="40" t="n"/>
      <c r="F176" s="41" t="n"/>
      <c r="G176" s="41" t="n"/>
      <c r="H176" s="41" t="n"/>
      <c r="I176" s="6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38" t="n"/>
      <c r="AC176" s="38" t="n"/>
      <c r="AD176" s="38" t="n"/>
      <c r="AE176" s="38" t="n"/>
      <c r="AF176" s="38" t="n"/>
      <c r="AG176" s="38" t="n"/>
      <c r="AH176" s="38" t="n"/>
      <c r="AI176" s="38" t="n"/>
      <c r="AJ176" s="38" t="n"/>
      <c r="AK176" s="38" t="n"/>
      <c r="AL176" s="38" t="n"/>
      <c r="AM176" s="38" t="n"/>
      <c r="AN176" s="38" t="n"/>
      <c r="AO176" s="25">
        <f>SUM(J176:AN176)</f>
        <v/>
      </c>
      <c r="AQ176" s="25" t="n"/>
      <c r="AR176" s="25" t="n"/>
      <c r="AS176" s="26" t="n"/>
      <c r="AT176" s="27">
        <f>IF(AS176&gt;0, AO176/AS176, "")</f>
        <v/>
      </c>
    </row>
    <row r="177" hidden="1" s="69">
      <c r="A177" s="39" t="n"/>
      <c r="B177" s="40" t="n"/>
      <c r="C177" s="40" t="n"/>
      <c r="D177" s="40" t="n"/>
      <c r="E177" s="40" t="n"/>
      <c r="F177" s="41" t="n"/>
      <c r="G177" s="41" t="n"/>
      <c r="H177" s="41" t="n"/>
      <c r="I177" s="6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n"/>
      <c r="AD177" s="38" t="n"/>
      <c r="AE177" s="38" t="n"/>
      <c r="AF177" s="38" t="n"/>
      <c r="AG177" s="38" t="n"/>
      <c r="AH177" s="38" t="n"/>
      <c r="AI177" s="38" t="n"/>
      <c r="AJ177" s="38" t="n"/>
      <c r="AK177" s="38" t="n"/>
      <c r="AL177" s="38" t="n"/>
      <c r="AM177" s="38" t="n"/>
      <c r="AN177" s="38" t="n"/>
      <c r="AO177" s="25">
        <f>SUM(J177:AN177)</f>
        <v/>
      </c>
      <c r="AQ177" s="25" t="n"/>
      <c r="AR177" s="25" t="n"/>
      <c r="AS177" s="26" t="n"/>
      <c r="AT177" s="27">
        <f>IF(AS177&gt;0, AO177/AS177, "")</f>
        <v/>
      </c>
    </row>
    <row r="178" hidden="1" s="69">
      <c r="A178" s="39" t="n"/>
      <c r="B178" s="40" t="n"/>
      <c r="C178" s="40" t="n"/>
      <c r="D178" s="40" t="n"/>
      <c r="E178" s="40" t="n"/>
      <c r="F178" s="41" t="n"/>
      <c r="G178" s="41" t="n"/>
      <c r="H178" s="41" t="n"/>
      <c r="I178" s="6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38" t="n"/>
      <c r="AC178" s="38" t="n"/>
      <c r="AD178" s="38" t="n"/>
      <c r="AE178" s="38" t="n"/>
      <c r="AF178" s="38" t="n"/>
      <c r="AG178" s="38" t="n"/>
      <c r="AH178" s="38" t="n"/>
      <c r="AI178" s="38" t="n"/>
      <c r="AJ178" s="38" t="n"/>
      <c r="AK178" s="38" t="n"/>
      <c r="AL178" s="38" t="n"/>
      <c r="AM178" s="38" t="n"/>
      <c r="AN178" s="38" t="n"/>
      <c r="AO178" s="25">
        <f>SUM(J178:AN178)</f>
        <v/>
      </c>
      <c r="AQ178" s="25" t="n"/>
      <c r="AR178" s="25" t="n"/>
      <c r="AS178" s="26" t="n"/>
      <c r="AT178" s="27">
        <f>IF(AS178&gt;0, AO178/AS178, "")</f>
        <v/>
      </c>
    </row>
    <row r="179" hidden="1" s="69">
      <c r="A179" s="39" t="n"/>
      <c r="B179" s="40" t="n"/>
      <c r="C179" s="40" t="n"/>
      <c r="D179" s="40" t="n"/>
      <c r="E179" s="40" t="n"/>
      <c r="F179" s="41" t="n"/>
      <c r="G179" s="41" t="n"/>
      <c r="H179" s="41" t="n"/>
      <c r="I179" s="6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n"/>
      <c r="AD179" s="38" t="n"/>
      <c r="AE179" s="38" t="n"/>
      <c r="AF179" s="38" t="n"/>
      <c r="AG179" s="38" t="n"/>
      <c r="AH179" s="38" t="n"/>
      <c r="AI179" s="38" t="n"/>
      <c r="AJ179" s="38" t="n"/>
      <c r="AK179" s="38" t="n"/>
      <c r="AL179" s="38" t="n"/>
      <c r="AM179" s="38" t="n"/>
      <c r="AN179" s="38" t="n"/>
      <c r="AO179" s="25">
        <f>SUM(J179:AN179)</f>
        <v/>
      </c>
      <c r="AQ179" s="25" t="n"/>
      <c r="AR179" s="25" t="n"/>
      <c r="AS179" s="26" t="n"/>
      <c r="AT179" s="27">
        <f>IF(AS179&gt;0, AO179/AS179, "")</f>
        <v/>
      </c>
    </row>
    <row r="180" hidden="1" s="69">
      <c r="A180" s="39" t="n"/>
      <c r="B180" s="40" t="n"/>
      <c r="C180" s="40" t="n"/>
      <c r="D180" s="40" t="n"/>
      <c r="E180" s="40" t="n"/>
      <c r="F180" s="41" t="n"/>
      <c r="G180" s="41" t="n"/>
      <c r="H180" s="41" t="n"/>
      <c r="I180" s="6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38" t="n"/>
      <c r="AC180" s="38" t="n"/>
      <c r="AD180" s="38" t="n"/>
      <c r="AE180" s="38" t="n"/>
      <c r="AF180" s="38" t="n"/>
      <c r="AG180" s="38" t="n"/>
      <c r="AH180" s="38" t="n"/>
      <c r="AI180" s="38" t="n"/>
      <c r="AJ180" s="38" t="n"/>
      <c r="AK180" s="38" t="n"/>
      <c r="AL180" s="38" t="n"/>
      <c r="AM180" s="38" t="n"/>
      <c r="AN180" s="38" t="n"/>
      <c r="AO180" s="25">
        <f>SUM(J180:AN180)</f>
        <v/>
      </c>
      <c r="AQ180" s="25" t="n"/>
      <c r="AR180" s="25" t="n"/>
      <c r="AS180" s="26" t="n"/>
      <c r="AT180" s="27">
        <f>IF(AS180&gt;0, AO180/AS180, "")</f>
        <v/>
      </c>
    </row>
    <row r="181" hidden="1" s="69">
      <c r="A181" s="39" t="n"/>
      <c r="B181" s="40" t="n"/>
      <c r="C181" s="40" t="n"/>
      <c r="D181" s="40" t="n"/>
      <c r="E181" s="40" t="n"/>
      <c r="F181" s="41" t="n"/>
      <c r="G181" s="41" t="n"/>
      <c r="H181" s="41" t="n"/>
      <c r="I181" s="6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38" t="n"/>
      <c r="AE181" s="38" t="n"/>
      <c r="AF181" s="38" t="n"/>
      <c r="AG181" s="38" t="n"/>
      <c r="AH181" s="38" t="n"/>
      <c r="AI181" s="38" t="n"/>
      <c r="AJ181" s="38" t="n"/>
      <c r="AK181" s="38" t="n"/>
      <c r="AL181" s="38" t="n"/>
      <c r="AM181" s="38" t="n"/>
      <c r="AN181" s="38" t="n"/>
      <c r="AO181" s="25">
        <f>SUM(J181:AN181)</f>
        <v/>
      </c>
      <c r="AQ181" s="25" t="n"/>
      <c r="AR181" s="25" t="n"/>
      <c r="AS181" s="26" t="n"/>
      <c r="AT181" s="27">
        <f>IF(AS181&gt;0, AO181/AS181, "")</f>
        <v/>
      </c>
    </row>
    <row r="182" hidden="1" s="69">
      <c r="A182" s="39" t="n"/>
      <c r="B182" s="40" t="n"/>
      <c r="C182" s="40" t="n"/>
      <c r="D182" s="40" t="n"/>
      <c r="E182" s="40" t="n"/>
      <c r="F182" s="41" t="n"/>
      <c r="G182" s="41" t="n"/>
      <c r="H182" s="41" t="n"/>
      <c r="I182" s="6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38" t="n"/>
      <c r="AE182" s="38" t="n"/>
      <c r="AF182" s="38" t="n"/>
      <c r="AG182" s="38" t="n"/>
      <c r="AH182" s="38" t="n"/>
      <c r="AI182" s="38" t="n"/>
      <c r="AJ182" s="38" t="n"/>
      <c r="AK182" s="38" t="n"/>
      <c r="AL182" s="38" t="n"/>
      <c r="AM182" s="38" t="n"/>
      <c r="AN182" s="38" t="n"/>
      <c r="AO182" s="25">
        <f>SUM(J182:AN182)</f>
        <v/>
      </c>
      <c r="AQ182" s="25" t="n"/>
      <c r="AR182" s="25" t="n"/>
      <c r="AS182" s="26" t="n"/>
      <c r="AT182" s="27">
        <f>IF(AS182&gt;0, AO182/AS182, "")</f>
        <v/>
      </c>
    </row>
    <row r="183" hidden="1" s="69">
      <c r="A183" s="39" t="n"/>
      <c r="B183" s="40" t="n"/>
      <c r="C183" s="40" t="n"/>
      <c r="D183" s="40" t="n"/>
      <c r="E183" s="40" t="n"/>
      <c r="F183" s="41" t="n"/>
      <c r="G183" s="41" t="n"/>
      <c r="H183" s="41" t="n"/>
      <c r="I183" s="6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n"/>
      <c r="AD183" s="38" t="n"/>
      <c r="AE183" s="38" t="n"/>
      <c r="AF183" s="38" t="n"/>
      <c r="AG183" s="38" t="n"/>
      <c r="AH183" s="38" t="n"/>
      <c r="AI183" s="38" t="n"/>
      <c r="AJ183" s="38" t="n"/>
      <c r="AK183" s="38" t="n"/>
      <c r="AL183" s="38" t="n"/>
      <c r="AM183" s="38" t="n"/>
      <c r="AN183" s="38" t="n"/>
      <c r="AO183" s="25">
        <f>SUM(J183:AN183)</f>
        <v/>
      </c>
      <c r="AQ183" s="25" t="n"/>
      <c r="AR183" s="25" t="n"/>
      <c r="AS183" s="26" t="n"/>
      <c r="AT183" s="27">
        <f>IF(AS183&gt;0, AO183/AS183, "")</f>
        <v/>
      </c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5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  <c r="AF184" s="38" t="n"/>
      <c r="AG184" s="38" t="n"/>
      <c r="AH184" s="38" t="n"/>
      <c r="AI184" s="38" t="n"/>
      <c r="AJ184" s="38" t="n"/>
      <c r="AK184" s="38" t="n"/>
      <c r="AL184" s="38" t="n"/>
      <c r="AM184" s="38" t="n"/>
      <c r="AN184" s="38" t="n"/>
      <c r="AO184" s="38" t="n"/>
      <c r="AQ184" s="38" t="n"/>
      <c r="AR184" s="38" t="n"/>
      <c r="AS184" s="38" t="n"/>
      <c r="AT184" s="38" t="n"/>
    </row>
    <row r="185">
      <c r="A185" s="13" t="inlineStr">
        <is>
          <t>🍃</t>
        </is>
      </c>
      <c r="B185" s="13" t="inlineStr">
        <is>
          <t>SEPTEMBER</t>
        </is>
      </c>
      <c r="I185" s="70">
        <f>DATE($D$1,9,1)</f>
        <v/>
      </c>
      <c r="J185" s="16">
        <f>I185</f>
        <v/>
      </c>
      <c r="K185" s="16">
        <f>J185+1</f>
        <v/>
      </c>
      <c r="L185" s="16">
        <f>K185+1</f>
        <v/>
      </c>
      <c r="M185" s="16">
        <f>L185+1</f>
        <v/>
      </c>
      <c r="N185" s="16">
        <f>M185+1</f>
        <v/>
      </c>
      <c r="O185" s="16">
        <f>N185+1</f>
        <v/>
      </c>
      <c r="P185" s="16">
        <f>O185+1</f>
        <v/>
      </c>
      <c r="Q185" s="16">
        <f>P185+1</f>
        <v/>
      </c>
      <c r="R185" s="16">
        <f>Q185+1</f>
        <v/>
      </c>
      <c r="S185" s="16">
        <f>R185+1</f>
        <v/>
      </c>
      <c r="T185" s="16">
        <f>S185+1</f>
        <v/>
      </c>
      <c r="U185" s="16">
        <f>T185+1</f>
        <v/>
      </c>
      <c r="V185" s="16">
        <f>U185+1</f>
        <v/>
      </c>
      <c r="W185" s="16">
        <f>V185+1</f>
        <v/>
      </c>
      <c r="X185" s="16">
        <f>W185+1</f>
        <v/>
      </c>
      <c r="Y185" s="16">
        <f>X185+1</f>
        <v/>
      </c>
      <c r="Z185" s="16">
        <f>Y185+1</f>
        <v/>
      </c>
      <c r="AA185" s="16">
        <f>Z185+1</f>
        <v/>
      </c>
      <c r="AB185" s="16">
        <f>AA185+1</f>
        <v/>
      </c>
      <c r="AC185" s="16">
        <f>AB185+1</f>
        <v/>
      </c>
      <c r="AD185" s="16">
        <f>AC185+1</f>
        <v/>
      </c>
      <c r="AE185" s="16">
        <f>AD185+1</f>
        <v/>
      </c>
      <c r="AF185" s="16">
        <f>AE185+1</f>
        <v/>
      </c>
      <c r="AG185" s="16">
        <f>AF185+1</f>
        <v/>
      </c>
      <c r="AH185" s="16">
        <f>AG185+1</f>
        <v/>
      </c>
      <c r="AI185" s="16">
        <f>AH185+1</f>
        <v/>
      </c>
      <c r="AJ185" s="16">
        <f>AI185+1</f>
        <v/>
      </c>
      <c r="AK185" s="16">
        <f>AJ185+1</f>
        <v/>
      </c>
      <c r="AL185" s="16">
        <f>AK185+1</f>
        <v/>
      </c>
      <c r="AM185" s="16">
        <f>AL185+1</f>
        <v/>
      </c>
      <c r="AN185" s="48" t="n"/>
      <c r="AO185" s="17" t="inlineStr">
        <is>
          <t>TOTAL</t>
        </is>
      </c>
      <c r="AQ185" s="18" t="inlineStr">
        <is>
          <t>current streak 🔥</t>
        </is>
      </c>
      <c r="AR185" s="18" t="inlineStr">
        <is>
          <t>longest streak😼</t>
        </is>
      </c>
      <c r="AS185" s="18" t="inlineStr">
        <is>
          <t>Goal🔢</t>
        </is>
      </c>
      <c r="AT185" s="18" t="inlineStr">
        <is>
          <t>Progress
📈</t>
        </is>
      </c>
    </row>
    <row r="186" ht="15" customHeight="1" s="69">
      <c r="A186" s="34" t="n"/>
      <c r="B186" s="34" t="n"/>
      <c r="I186" s="35" t="n"/>
      <c r="J186" s="36">
        <f>J185</f>
        <v/>
      </c>
      <c r="K186" s="36">
        <f>K185</f>
        <v/>
      </c>
      <c r="L186" s="36">
        <f>L185</f>
        <v/>
      </c>
      <c r="M186" s="36">
        <f>M185</f>
        <v/>
      </c>
      <c r="N186" s="36">
        <f>N185</f>
        <v/>
      </c>
      <c r="O186" s="36">
        <f>O185</f>
        <v/>
      </c>
      <c r="P186" s="36">
        <f>P185</f>
        <v/>
      </c>
      <c r="Q186" s="36">
        <f>Q185</f>
        <v/>
      </c>
      <c r="R186" s="36">
        <f>R185</f>
        <v/>
      </c>
      <c r="S186" s="36">
        <f>S185</f>
        <v/>
      </c>
      <c r="T186" s="36">
        <f>T185</f>
        <v/>
      </c>
      <c r="U186" s="36">
        <f>U185</f>
        <v/>
      </c>
      <c r="V186" s="36">
        <f>V185</f>
        <v/>
      </c>
      <c r="W186" s="36">
        <f>W185</f>
        <v/>
      </c>
      <c r="X186" s="36">
        <f>X185</f>
        <v/>
      </c>
      <c r="Y186" s="36">
        <f>Y185</f>
        <v/>
      </c>
      <c r="Z186" s="36">
        <f>Z185</f>
        <v/>
      </c>
      <c r="AA186" s="36">
        <f>AA185</f>
        <v/>
      </c>
      <c r="AB186" s="36">
        <f>AB185</f>
        <v/>
      </c>
      <c r="AC186" s="36">
        <f>AC185</f>
        <v/>
      </c>
      <c r="AD186" s="36">
        <f>AD185</f>
        <v/>
      </c>
      <c r="AE186" s="36">
        <f>AE185</f>
        <v/>
      </c>
      <c r="AF186" s="36">
        <f>AF185</f>
        <v/>
      </c>
      <c r="AG186" s="36">
        <f>AG185</f>
        <v/>
      </c>
      <c r="AH186" s="36">
        <f>AH185</f>
        <v/>
      </c>
      <c r="AI186" s="36">
        <f>AI185</f>
        <v/>
      </c>
      <c r="AJ186" s="36">
        <f>AJ185</f>
        <v/>
      </c>
      <c r="AK186" s="36">
        <f>AK185</f>
        <v/>
      </c>
      <c r="AL186" s="36">
        <f>AL185</f>
        <v/>
      </c>
      <c r="AM186" s="36">
        <f>AM185</f>
        <v/>
      </c>
      <c r="AN186" s="36">
        <f>AN185</f>
        <v/>
      </c>
    </row>
    <row r="187">
      <c r="A187" s="22" t="n"/>
      <c r="B187" s="52" t="inlineStr">
        <is>
          <t>Пн</t>
        </is>
      </c>
      <c r="C187" s="52" t="inlineStr">
        <is>
          <t>Вт</t>
        </is>
      </c>
      <c r="D187" s="52" t="inlineStr">
        <is>
          <t>Ср</t>
        </is>
      </c>
      <c r="E187" s="52" t="inlineStr">
        <is>
          <t>Чт</t>
        </is>
      </c>
      <c r="F187" s="52" t="inlineStr">
        <is>
          <t>Пт</t>
        </is>
      </c>
      <c r="G187" s="52" t="inlineStr">
        <is>
          <t>Сб</t>
        </is>
      </c>
      <c r="H187" s="52" t="inlineStr">
        <is>
          <t>Вс</t>
        </is>
      </c>
      <c r="I187" s="6">
        <f>ARRAYFORMULA(Setup!B3:B22)</f>
        <v/>
      </c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n"/>
      <c r="AD187" s="38" t="n"/>
      <c r="AE187" s="38" t="n"/>
      <c r="AF187" s="38" t="n"/>
      <c r="AG187" s="38" t="n"/>
      <c r="AH187" s="38" t="n"/>
      <c r="AI187" s="38" t="n"/>
      <c r="AJ187" s="38" t="n"/>
      <c r="AK187" s="38" t="n"/>
      <c r="AL187" s="38" t="n"/>
      <c r="AM187" s="38" t="n"/>
      <c r="AN187" s="38" t="n"/>
      <c r="AO187" s="25">
        <f>SUM(J187:AN187)</f>
        <v/>
      </c>
      <c r="AQ187" s="25" t="n"/>
      <c r="AR187" s="25" t="n"/>
      <c r="AS187" s="26" t="n"/>
      <c r="AT187" s="27">
        <f>IF(AS187&gt;0, AO187/AS187, "")</f>
        <v/>
      </c>
    </row>
    <row r="188">
      <c r="A188" s="28">
        <f>WEEKNUM(B188,2)</f>
        <v/>
      </c>
      <c r="B188" s="29">
        <f>IFERROR(DATE($D$1, MONTH(I185), 1) - WEEKDAY(DATE($D$1, MONTH(I185), 1), 2) + 1 + 0*7 + 0, "")</f>
        <v/>
      </c>
      <c r="C188" s="30">
        <f>IFERROR(DATE($D$1, MONTH(I185), 1) - WEEKDAY(DATE($D$1, MONTH(I185), 1), 2) + 1 + 0*7 + 1, "")</f>
        <v/>
      </c>
      <c r="D188" s="30">
        <f>IFERROR(DATE($D$1, MONTH(I185), 1) - WEEKDAY(DATE($D$1, MONTH(I185), 1), 2) + 1 + 0*7 + 2, "")</f>
        <v/>
      </c>
      <c r="E188" s="30">
        <f>IFERROR(DATE($D$1, MONTH(I185), 1) - WEEKDAY(DATE($D$1, MONTH(I185), 1), 2) + 1 + 0*7 + 3, "")</f>
        <v/>
      </c>
      <c r="F188" s="30">
        <f>IFERROR(DATE($D$1, MONTH(I185), 1) - WEEKDAY(DATE($D$1, MONTH(I185), 1), 2) + 1 + 0*7 + 4, "")</f>
        <v/>
      </c>
      <c r="G188" s="30">
        <f>IFERROR(DATE($D$1, MONTH(I185), 1) - WEEKDAY(DATE($D$1, MONTH(I185), 1), 2) + 1 + 0*7 + 5, "")</f>
        <v/>
      </c>
      <c r="H188" s="30">
        <f>IFERROR(DATE($D$1, MONTH(I185), 1) - WEEKDAY(DATE($D$1, MONTH(I185), 1), 2) + 1 + 0*7 + 6, "")</f>
        <v/>
      </c>
      <c r="I188" s="6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38" t="n"/>
      <c r="AC188" s="38" t="n"/>
      <c r="AD188" s="38" t="n"/>
      <c r="AE188" s="38" t="n"/>
      <c r="AF188" s="38" t="n"/>
      <c r="AG188" s="38" t="n"/>
      <c r="AH188" s="38" t="n"/>
      <c r="AI188" s="38" t="n"/>
      <c r="AJ188" s="38" t="n"/>
      <c r="AK188" s="38" t="n"/>
      <c r="AL188" s="38" t="n"/>
      <c r="AM188" s="38" t="n"/>
      <c r="AN188" s="38" t="n"/>
      <c r="AO188" s="25">
        <f>SUM(J188:AN188)</f>
        <v/>
      </c>
      <c r="AQ188" s="25" t="n"/>
      <c r="AR188" s="25" t="n"/>
      <c r="AS188" s="26" t="n"/>
      <c r="AT188" s="27">
        <f>IF(AS188&gt;0, AO188/AS188, "")</f>
        <v/>
      </c>
    </row>
    <row r="189">
      <c r="A189" s="31">
        <f>WEEKNUM(B189,2)</f>
        <v/>
      </c>
      <c r="B189" s="30">
        <f>IFERROR(DATE($D$1, MONTH(I185), 1) - WEEKDAY(DATE($D$1, MONTH(I185), 1), 2) + 1 + 1*7 + 0, "")</f>
        <v/>
      </c>
      <c r="C189" s="30">
        <f>IFERROR(DATE($D$1, MONTH(I185), 1) - WEEKDAY(DATE($D$1, MONTH(I185), 1), 2) + 1 + 1*7 + 1, "")</f>
        <v/>
      </c>
      <c r="D189" s="30">
        <f>IFERROR(DATE($D$1, MONTH(I185), 1) - WEEKDAY(DATE($D$1, MONTH(I185), 1), 2) + 1 + 1*7 + 2, "")</f>
        <v/>
      </c>
      <c r="E189" s="30">
        <f>IFERROR(DATE($D$1, MONTH(I185), 1) - WEEKDAY(DATE($D$1, MONTH(I185), 1), 2) + 1 + 1*7 + 3, "")</f>
        <v/>
      </c>
      <c r="F189" s="30">
        <f>IFERROR(DATE($D$1, MONTH(I185), 1) - WEEKDAY(DATE($D$1, MONTH(I185), 1), 2) + 1 + 1*7 + 4, "")</f>
        <v/>
      </c>
      <c r="G189" s="30">
        <f>IFERROR(DATE($D$1, MONTH(I185), 1) - WEEKDAY(DATE($D$1, MONTH(I185), 1), 2) + 1 + 1*7 + 5, "")</f>
        <v/>
      </c>
      <c r="H189" s="30">
        <f>IFERROR(DATE($D$1, MONTH(I185), 1) - WEEKDAY(DATE($D$1, MONTH(I185), 1), 2) + 1 + 1*7 + 6, "")</f>
        <v/>
      </c>
      <c r="I189" s="6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n"/>
      <c r="AD189" s="38" t="n"/>
      <c r="AE189" s="38" t="n"/>
      <c r="AF189" s="38" t="n"/>
      <c r="AG189" s="38" t="n"/>
      <c r="AH189" s="38" t="n"/>
      <c r="AI189" s="38" t="n"/>
      <c r="AJ189" s="38" t="n"/>
      <c r="AK189" s="38" t="n"/>
      <c r="AL189" s="38" t="n"/>
      <c r="AM189" s="38" t="n"/>
      <c r="AN189" s="38" t="n"/>
      <c r="AO189" s="25">
        <f>SUM(J189:AN189)</f>
        <v/>
      </c>
      <c r="AQ189" s="25" t="n"/>
      <c r="AR189" s="25" t="n"/>
      <c r="AS189" s="26" t="n"/>
      <c r="AT189" s="27">
        <f>IF(AS189&gt;0, AO189/AS189, "")</f>
        <v/>
      </c>
    </row>
    <row r="190">
      <c r="A190" s="31">
        <f>WEEKNUM(B190,2)</f>
        <v/>
      </c>
      <c r="B190" s="30">
        <f>IFERROR(DATE($D$1, MONTH(I185), 1) - WEEKDAY(DATE($D$1, MONTH(I185), 1), 2) + 1 + 2*7 + 0, "")</f>
        <v/>
      </c>
      <c r="C190" s="30">
        <f>IFERROR(DATE($D$1, MONTH(I185), 1) - WEEKDAY(DATE($D$1, MONTH(I185), 1), 2) + 1 + 2*7 + 1, "")</f>
        <v/>
      </c>
      <c r="D190" s="30">
        <f>IFERROR(DATE($D$1, MONTH(I185), 1) - WEEKDAY(DATE($D$1, MONTH(I185), 1), 2) + 1 + 2*7 + 2, "")</f>
        <v/>
      </c>
      <c r="E190" s="30">
        <f>IFERROR(DATE($D$1, MONTH(I185), 1) - WEEKDAY(DATE($D$1, MONTH(I185), 1), 2) + 1 + 2*7 + 3, "")</f>
        <v/>
      </c>
      <c r="F190" s="30">
        <f>IFERROR(DATE($D$1, MONTH(I185), 1) - WEEKDAY(DATE($D$1, MONTH(I185), 1), 2) + 1 + 2*7 + 4, "")</f>
        <v/>
      </c>
      <c r="G190" s="30">
        <f>IFERROR(DATE($D$1, MONTH(I185), 1) - WEEKDAY(DATE($D$1, MONTH(I185), 1), 2) + 1 + 2*7 + 5, "")</f>
        <v/>
      </c>
      <c r="H190" s="30">
        <f>IFERROR(DATE($D$1, MONTH(I185), 1) - WEEKDAY(DATE($D$1, MONTH(I185), 1), 2) + 1 + 2*7 + 6, "")</f>
        <v/>
      </c>
      <c r="I190" s="6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38" t="n"/>
      <c r="AC190" s="38" t="n"/>
      <c r="AD190" s="38" t="n"/>
      <c r="AE190" s="38" t="n"/>
      <c r="AF190" s="38" t="n"/>
      <c r="AG190" s="38" t="n"/>
      <c r="AH190" s="38" t="n"/>
      <c r="AI190" s="38" t="n"/>
      <c r="AJ190" s="38" t="n"/>
      <c r="AK190" s="38" t="n"/>
      <c r="AL190" s="38" t="n"/>
      <c r="AM190" s="38" t="n"/>
      <c r="AN190" s="38" t="n"/>
      <c r="AO190" s="25">
        <f>SUM(J190:AN190)</f>
        <v/>
      </c>
      <c r="AQ190" s="25" t="n"/>
      <c r="AR190" s="25" t="n"/>
      <c r="AS190" s="26" t="n"/>
      <c r="AT190" s="27">
        <f>IF(AS190&gt;0, AO190/AS190, "")</f>
        <v/>
      </c>
    </row>
    <row r="191">
      <c r="A191" s="31">
        <f>WEEKNUM(B191,2)</f>
        <v/>
      </c>
      <c r="B191" s="30">
        <f>IFERROR(DATE($D$1, MONTH(I185), 1) - WEEKDAY(DATE($D$1, MONTH(I185), 1), 2) + 1 + 3*7 + 0, "")</f>
        <v/>
      </c>
      <c r="C191" s="30">
        <f>IFERROR(DATE($D$1, MONTH(I185), 1) - WEEKDAY(DATE($D$1, MONTH(I185), 1), 2) + 1 + 3*7 + 1, "")</f>
        <v/>
      </c>
      <c r="D191" s="30">
        <f>IFERROR(DATE($D$1, MONTH(I185), 1) - WEEKDAY(DATE($D$1, MONTH(I185), 1), 2) + 1 + 3*7 + 2, "")</f>
        <v/>
      </c>
      <c r="E191" s="30">
        <f>IFERROR(DATE($D$1, MONTH(I185), 1) - WEEKDAY(DATE($D$1, MONTH(I185), 1), 2) + 1 + 3*7 + 3, "")</f>
        <v/>
      </c>
      <c r="F191" s="30">
        <f>IFERROR(DATE($D$1, MONTH(I185), 1) - WEEKDAY(DATE($D$1, MONTH(I185), 1), 2) + 1 + 3*7 + 4, "")</f>
        <v/>
      </c>
      <c r="G191" s="30">
        <f>IFERROR(DATE($D$1, MONTH(I185), 1) - WEEKDAY(DATE($D$1, MONTH(I185), 1), 2) + 1 + 3*7 + 5, "")</f>
        <v/>
      </c>
      <c r="H191" s="30">
        <f>IFERROR(DATE($D$1, MONTH(I185), 1) - WEEKDAY(DATE($D$1, MONTH(I185), 1), 2) + 1 + 3*7 + 6, "")</f>
        <v/>
      </c>
      <c r="I191" s="6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n"/>
      <c r="AD191" s="38" t="n"/>
      <c r="AE191" s="38" t="n"/>
      <c r="AF191" s="38" t="n"/>
      <c r="AG191" s="38" t="n"/>
      <c r="AH191" s="38" t="n"/>
      <c r="AI191" s="38" t="n"/>
      <c r="AJ191" s="38" t="n"/>
      <c r="AK191" s="38" t="n"/>
      <c r="AL191" s="38" t="n"/>
      <c r="AM191" s="38" t="n"/>
      <c r="AN191" s="38" t="n"/>
      <c r="AO191" s="25">
        <f>SUM(J191:AN191)</f>
        <v/>
      </c>
      <c r="AQ191" s="25" t="n"/>
      <c r="AR191" s="25" t="n"/>
      <c r="AS191" s="26" t="n"/>
      <c r="AT191" s="27">
        <f>IF(AS191&gt;0, AO191/AS191, "")</f>
        <v/>
      </c>
    </row>
    <row r="192">
      <c r="A192" s="31">
        <f>WEEKNUM(B192,2)</f>
        <v/>
      </c>
      <c r="B192" s="30">
        <f>IFERROR(DATE($D$1, MONTH(I185), 1) - WEEKDAY(DATE($D$1, MONTH(I185), 1), 2) + 1 + 4*7 + 0, "")</f>
        <v/>
      </c>
      <c r="C192" s="30">
        <f>IFERROR(DATE($D$1, MONTH(I185), 1) - WEEKDAY(DATE($D$1, MONTH(I185), 1), 2) + 1 + 4*7 + 1, "")</f>
        <v/>
      </c>
      <c r="D192" s="30">
        <f>IFERROR(DATE($D$1, MONTH(I185), 1) - WEEKDAY(DATE($D$1, MONTH(I185), 1), 2) + 1 + 4*7 + 2, "")</f>
        <v/>
      </c>
      <c r="E192" s="30">
        <f>IFERROR(DATE($D$1, MONTH(I185), 1) - WEEKDAY(DATE($D$1, MONTH(I185), 1), 2) + 1 + 4*7 + 3, "")</f>
        <v/>
      </c>
      <c r="F192" s="30">
        <f>IFERROR(DATE($D$1, MONTH(I185), 1) - WEEKDAY(DATE($D$1, MONTH(I185), 1), 2) + 1 + 4*7 + 4, "")</f>
        <v/>
      </c>
      <c r="G192" s="30">
        <f>IFERROR(DATE($D$1, MONTH(I185), 1) - WEEKDAY(DATE($D$1, MONTH(I185), 1), 2) + 1 + 4*7 + 5, "")</f>
        <v/>
      </c>
      <c r="H192" s="30">
        <f>IFERROR(DATE($D$1, MONTH(I185), 1) - WEEKDAY(DATE($D$1, MONTH(I185), 1), 2) + 1 + 4*7 + 6, "")</f>
        <v/>
      </c>
      <c r="I192" s="6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38" t="n"/>
      <c r="AC192" s="38" t="n"/>
      <c r="AD192" s="38" t="n"/>
      <c r="AE192" s="38" t="n"/>
      <c r="AF192" s="38" t="n"/>
      <c r="AG192" s="38" t="n"/>
      <c r="AH192" s="38" t="n"/>
      <c r="AI192" s="38" t="n"/>
      <c r="AJ192" s="38" t="n"/>
      <c r="AK192" s="38" t="n"/>
      <c r="AL192" s="38" t="n"/>
      <c r="AM192" s="38" t="n"/>
      <c r="AN192" s="38" t="n"/>
      <c r="AO192" s="25">
        <f>SUM(J192:AN192)</f>
        <v/>
      </c>
      <c r="AQ192" s="25" t="n"/>
      <c r="AR192" s="25" t="n"/>
      <c r="AS192" s="26" t="n"/>
      <c r="AT192" s="27">
        <f>IF(AS192&gt;0, AO192/AS192, "")</f>
        <v/>
      </c>
    </row>
    <row r="193">
      <c r="A193" s="31">
        <f>WEEKNUM(B193,2)</f>
        <v/>
      </c>
      <c r="B193" s="30">
        <f>IFERROR(DATE($D$1, MONTH(I185), 1) - WEEKDAY(DATE($D$1, MONTH(I185), 1), 2) + 1 + 5*7 + 0, "")</f>
        <v/>
      </c>
      <c r="C193" s="30">
        <f>IFERROR(DATE($D$1, MONTH(I185), 1) - WEEKDAY(DATE($D$1, MONTH(I185), 1), 2) + 1 + 5*7 + 1, "")</f>
        <v/>
      </c>
      <c r="D193" s="30">
        <f>IFERROR(DATE($D$1, MONTH(I185), 1) - WEEKDAY(DATE($D$1, MONTH(I185), 1), 2) + 1 + 5*7 + 2, "")</f>
        <v/>
      </c>
      <c r="E193" s="30">
        <f>IFERROR(DATE($D$1, MONTH(I185), 1) - WEEKDAY(DATE($D$1, MONTH(I185), 1), 2) + 1 + 5*7 + 3, "")</f>
        <v/>
      </c>
      <c r="F193" s="30">
        <f>IFERROR(DATE($D$1, MONTH(I185), 1) - WEEKDAY(DATE($D$1, MONTH(I185), 1), 2) + 1 + 5*7 + 4, "")</f>
        <v/>
      </c>
      <c r="G193" s="30">
        <f>IFERROR(DATE($D$1, MONTH(I185), 1) - WEEKDAY(DATE($D$1, MONTH(I185), 1), 2) + 1 + 5*7 + 5, "")</f>
        <v/>
      </c>
      <c r="H193" s="30">
        <f>IFERROR(DATE($D$1, MONTH(I185), 1) - WEEKDAY(DATE($D$1, MONTH(I185), 1), 2) + 1 + 5*7 + 6, "")</f>
        <v/>
      </c>
      <c r="I193" s="6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n"/>
      <c r="AD193" s="38" t="n"/>
      <c r="AE193" s="38" t="n"/>
      <c r="AF193" s="38" t="n"/>
      <c r="AG193" s="38" t="n"/>
      <c r="AH193" s="38" t="n"/>
      <c r="AI193" s="38" t="n"/>
      <c r="AJ193" s="38" t="n"/>
      <c r="AK193" s="38" t="n"/>
      <c r="AL193" s="38" t="n"/>
      <c r="AM193" s="38" t="n"/>
      <c r="AN193" s="38" t="n"/>
      <c r="AO193" s="25">
        <f>SUM(J193:AN193)</f>
        <v/>
      </c>
      <c r="AQ193" s="25" t="n"/>
      <c r="AR193" s="25" t="n"/>
      <c r="AS193" s="26" t="n"/>
      <c r="AT193" s="27">
        <f>IF(AS193&gt;0, AO193/AS193, "")</f>
        <v/>
      </c>
    </row>
    <row r="194" hidden="1" s="69">
      <c r="A194" s="39" t="n"/>
      <c r="B194" s="40" t="n"/>
      <c r="C194" s="40" t="n"/>
      <c r="D194" s="40" t="n"/>
      <c r="E194" s="40" t="n"/>
      <c r="F194" s="40" t="n"/>
      <c r="G194" s="40" t="n"/>
      <c r="H194" s="41" t="n"/>
      <c r="I194" s="6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38" t="n"/>
      <c r="AC194" s="38" t="n"/>
      <c r="AD194" s="38" t="n"/>
      <c r="AE194" s="38" t="n"/>
      <c r="AF194" s="38" t="n"/>
      <c r="AG194" s="38" t="n"/>
      <c r="AH194" s="38" t="n"/>
      <c r="AI194" s="38" t="n"/>
      <c r="AJ194" s="38" t="n"/>
      <c r="AK194" s="38" t="n"/>
      <c r="AL194" s="38" t="n"/>
      <c r="AM194" s="38" t="n"/>
      <c r="AN194" s="38" t="n"/>
      <c r="AO194" s="25">
        <f>SUM(J194:AN194)</f>
        <v/>
      </c>
      <c r="AQ194" s="25" t="n"/>
      <c r="AR194" s="25" t="n"/>
      <c r="AS194" s="26" t="n"/>
      <c r="AT194" s="27">
        <f>IF(AS194&gt;0, AO194/AS194, "")</f>
        <v/>
      </c>
    </row>
    <row r="195" hidden="1" s="69">
      <c r="A195" s="39" t="n"/>
      <c r="B195" s="40" t="n"/>
      <c r="C195" s="40" t="n"/>
      <c r="D195" s="40" t="n"/>
      <c r="E195" s="40" t="n"/>
      <c r="F195" s="40" t="n"/>
      <c r="G195" s="40" t="n"/>
      <c r="H195" s="41" t="n"/>
      <c r="I195" s="6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n"/>
      <c r="AD195" s="38" t="n"/>
      <c r="AE195" s="38" t="n"/>
      <c r="AF195" s="38" t="n"/>
      <c r="AG195" s="38" t="n"/>
      <c r="AH195" s="38" t="n"/>
      <c r="AI195" s="38" t="n"/>
      <c r="AJ195" s="38" t="n"/>
      <c r="AK195" s="38" t="n"/>
      <c r="AL195" s="38" t="n"/>
      <c r="AM195" s="38" t="n"/>
      <c r="AN195" s="38" t="n"/>
      <c r="AO195" s="25">
        <f>SUM(J195:AN195)</f>
        <v/>
      </c>
      <c r="AQ195" s="25" t="n"/>
      <c r="AR195" s="25" t="n"/>
      <c r="AS195" s="26" t="n"/>
      <c r="AT195" s="27">
        <f>IF(AS195&gt;0, AO195/AS195, "")</f>
        <v/>
      </c>
    </row>
    <row r="196" hidden="1" s="69">
      <c r="A196" s="39" t="n"/>
      <c r="B196" s="40" t="n"/>
      <c r="C196" s="40" t="n"/>
      <c r="D196" s="40" t="n"/>
      <c r="E196" s="40" t="n"/>
      <c r="F196" s="40" t="n"/>
      <c r="G196" s="40" t="n"/>
      <c r="H196" s="41" t="n"/>
      <c r="I196" s="6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38" t="n"/>
      <c r="AC196" s="38" t="n"/>
      <c r="AD196" s="38" t="n"/>
      <c r="AE196" s="38" t="n"/>
      <c r="AF196" s="38" t="n"/>
      <c r="AG196" s="38" t="n"/>
      <c r="AH196" s="38" t="n"/>
      <c r="AI196" s="38" t="n"/>
      <c r="AJ196" s="38" t="n"/>
      <c r="AK196" s="38" t="n"/>
      <c r="AL196" s="38" t="n"/>
      <c r="AM196" s="38" t="n"/>
      <c r="AN196" s="38" t="n"/>
      <c r="AO196" s="25">
        <f>SUM(J196:AN196)</f>
        <v/>
      </c>
      <c r="AQ196" s="25" t="n"/>
      <c r="AR196" s="25" t="n"/>
      <c r="AS196" s="26" t="n"/>
      <c r="AT196" s="27">
        <f>IF(AS196&gt;0, AO196/AS196, "")</f>
        <v/>
      </c>
    </row>
    <row r="197" hidden="1" s="69">
      <c r="A197" s="39" t="n"/>
      <c r="B197" s="40" t="n"/>
      <c r="C197" s="40" t="n"/>
      <c r="D197" s="40" t="n"/>
      <c r="E197" s="40" t="n"/>
      <c r="F197" s="40" t="n"/>
      <c r="G197" s="40" t="n"/>
      <c r="H197" s="41" t="n"/>
      <c r="I197" s="6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n"/>
      <c r="AD197" s="38" t="n"/>
      <c r="AE197" s="38" t="n"/>
      <c r="AF197" s="38" t="n"/>
      <c r="AG197" s="38" t="n"/>
      <c r="AH197" s="38" t="n"/>
      <c r="AI197" s="38" t="n"/>
      <c r="AJ197" s="38" t="n"/>
      <c r="AK197" s="38" t="n"/>
      <c r="AL197" s="38" t="n"/>
      <c r="AM197" s="38" t="n"/>
      <c r="AN197" s="38" t="n"/>
      <c r="AO197" s="25">
        <f>SUM(J197:AN197)</f>
        <v/>
      </c>
      <c r="AQ197" s="25" t="n"/>
      <c r="AR197" s="25" t="n"/>
      <c r="AS197" s="26" t="n"/>
      <c r="AT197" s="27">
        <f>IF(AS197&gt;0, AO197/AS197, "")</f>
        <v/>
      </c>
    </row>
    <row r="198" hidden="1" s="69">
      <c r="A198" s="39" t="n"/>
      <c r="B198" s="40" t="n"/>
      <c r="C198" s="40" t="n"/>
      <c r="D198" s="40" t="n"/>
      <c r="E198" s="40" t="n"/>
      <c r="F198" s="40" t="n"/>
      <c r="G198" s="40" t="n"/>
      <c r="H198" s="41" t="n"/>
      <c r="I198" s="6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38" t="n"/>
      <c r="AC198" s="38" t="n"/>
      <c r="AD198" s="38" t="n"/>
      <c r="AE198" s="38" t="n"/>
      <c r="AF198" s="38" t="n"/>
      <c r="AG198" s="38" t="n"/>
      <c r="AH198" s="38" t="n"/>
      <c r="AI198" s="38" t="n"/>
      <c r="AJ198" s="38" t="n"/>
      <c r="AK198" s="38" t="n"/>
      <c r="AL198" s="38" t="n"/>
      <c r="AM198" s="38" t="n"/>
      <c r="AN198" s="38" t="n"/>
      <c r="AO198" s="25">
        <f>SUM(J198:AN198)</f>
        <v/>
      </c>
      <c r="AQ198" s="25" t="n"/>
      <c r="AR198" s="25" t="n"/>
      <c r="AS198" s="26" t="n"/>
      <c r="AT198" s="27">
        <f>IF(AS198&gt;0, AO198/AS198, "")</f>
        <v/>
      </c>
    </row>
    <row r="199" hidden="1" s="69">
      <c r="A199" s="39" t="n"/>
      <c r="B199" s="40" t="n"/>
      <c r="C199" s="40" t="n"/>
      <c r="D199" s="40" t="n"/>
      <c r="E199" s="40" t="n"/>
      <c r="F199" s="40" t="n"/>
      <c r="G199" s="40" t="n"/>
      <c r="H199" s="41" t="n"/>
      <c r="I199" s="6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n"/>
      <c r="AD199" s="38" t="n"/>
      <c r="AE199" s="38" t="n"/>
      <c r="AF199" s="38" t="n"/>
      <c r="AG199" s="38" t="n"/>
      <c r="AH199" s="38" t="n"/>
      <c r="AI199" s="38" t="n"/>
      <c r="AJ199" s="38" t="n"/>
      <c r="AK199" s="38" t="n"/>
      <c r="AL199" s="38" t="n"/>
      <c r="AM199" s="38" t="n"/>
      <c r="AN199" s="38" t="n"/>
      <c r="AO199" s="25">
        <f>SUM(J199:AN199)</f>
        <v/>
      </c>
      <c r="AQ199" s="25" t="n"/>
      <c r="AR199" s="25" t="n"/>
      <c r="AS199" s="26" t="n"/>
      <c r="AT199" s="27">
        <f>IF(AS199&gt;0, AO199/AS199, "")</f>
        <v/>
      </c>
    </row>
    <row r="200" hidden="1" s="69">
      <c r="A200" s="39" t="n"/>
      <c r="B200" s="40" t="n"/>
      <c r="C200" s="40" t="n"/>
      <c r="D200" s="40" t="n"/>
      <c r="E200" s="40" t="n"/>
      <c r="F200" s="40" t="n"/>
      <c r="G200" s="40" t="n"/>
      <c r="H200" s="41" t="n"/>
      <c r="I200" s="6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38" t="n"/>
      <c r="AC200" s="38" t="n"/>
      <c r="AD200" s="38" t="n"/>
      <c r="AE200" s="38" t="n"/>
      <c r="AF200" s="38" t="n"/>
      <c r="AG200" s="38" t="n"/>
      <c r="AH200" s="38" t="n"/>
      <c r="AI200" s="38" t="n"/>
      <c r="AJ200" s="38" t="n"/>
      <c r="AK200" s="38" t="n"/>
      <c r="AL200" s="38" t="n"/>
      <c r="AM200" s="38" t="n"/>
      <c r="AN200" s="38" t="n"/>
      <c r="AO200" s="25">
        <f>SUM(J200:AN200)</f>
        <v/>
      </c>
      <c r="AQ200" s="25" t="n"/>
      <c r="AR200" s="25" t="n"/>
      <c r="AS200" s="26" t="n"/>
      <c r="AT200" s="27">
        <f>IF(AS200&gt;0, AO200/AS200, "")</f>
        <v/>
      </c>
    </row>
    <row r="201" hidden="1" s="69">
      <c r="A201" s="39" t="n"/>
      <c r="B201" s="40" t="n"/>
      <c r="C201" s="40" t="n"/>
      <c r="D201" s="40" t="n"/>
      <c r="E201" s="40" t="n"/>
      <c r="F201" s="40" t="n"/>
      <c r="G201" s="40" t="n"/>
      <c r="H201" s="41" t="n"/>
      <c r="I201" s="6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n"/>
      <c r="AD201" s="38" t="n"/>
      <c r="AE201" s="38" t="n"/>
      <c r="AF201" s="38" t="n"/>
      <c r="AG201" s="38" t="n"/>
      <c r="AH201" s="38" t="n"/>
      <c r="AI201" s="38" t="n"/>
      <c r="AJ201" s="38" t="n"/>
      <c r="AK201" s="38" t="n"/>
      <c r="AL201" s="38" t="n"/>
      <c r="AM201" s="38" t="n"/>
      <c r="AN201" s="38" t="n"/>
      <c r="AO201" s="25">
        <f>SUM(J201:AN201)</f>
        <v/>
      </c>
      <c r="AQ201" s="25" t="n"/>
      <c r="AR201" s="25" t="n"/>
      <c r="AS201" s="26" t="n"/>
      <c r="AT201" s="27">
        <f>IF(AS201&gt;0, AO201/AS201, "")</f>
        <v/>
      </c>
    </row>
    <row r="202" hidden="1" s="69">
      <c r="A202" s="39" t="n"/>
      <c r="B202" s="40" t="n"/>
      <c r="C202" s="40" t="n"/>
      <c r="D202" s="40" t="n"/>
      <c r="E202" s="40" t="n"/>
      <c r="F202" s="40" t="n"/>
      <c r="G202" s="40" t="n"/>
      <c r="H202" s="41" t="n"/>
      <c r="I202" s="6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  <c r="AA202" s="38" t="n"/>
      <c r="AB202" s="38" t="n"/>
      <c r="AC202" s="38" t="n"/>
      <c r="AD202" s="38" t="n"/>
      <c r="AE202" s="38" t="n"/>
      <c r="AF202" s="38" t="n"/>
      <c r="AG202" s="38" t="n"/>
      <c r="AH202" s="38" t="n"/>
      <c r="AI202" s="38" t="n"/>
      <c r="AJ202" s="38" t="n"/>
      <c r="AK202" s="38" t="n"/>
      <c r="AL202" s="38" t="n"/>
      <c r="AM202" s="38" t="n"/>
      <c r="AN202" s="38" t="n"/>
      <c r="AO202" s="25">
        <f>SUM(J202:AN202)</f>
        <v/>
      </c>
      <c r="AQ202" s="25" t="n"/>
      <c r="AR202" s="25" t="n"/>
      <c r="AS202" s="26" t="n"/>
      <c r="AT202" s="27">
        <f>IF(AS202&gt;0, AO202/AS202, "")</f>
        <v/>
      </c>
    </row>
    <row r="203" hidden="1" s="69">
      <c r="A203" s="39" t="n"/>
      <c r="B203" s="40" t="n"/>
      <c r="C203" s="40" t="n"/>
      <c r="D203" s="40" t="n"/>
      <c r="E203" s="40" t="n"/>
      <c r="F203" s="40" t="n"/>
      <c r="G203" s="40" t="n"/>
      <c r="H203" s="41" t="n"/>
      <c r="I203" s="6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n"/>
      <c r="AD203" s="38" t="n"/>
      <c r="AE203" s="38" t="n"/>
      <c r="AF203" s="38" t="n"/>
      <c r="AG203" s="38" t="n"/>
      <c r="AH203" s="38" t="n"/>
      <c r="AI203" s="38" t="n"/>
      <c r="AJ203" s="38" t="n"/>
      <c r="AK203" s="38" t="n"/>
      <c r="AL203" s="38" t="n"/>
      <c r="AM203" s="38" t="n"/>
      <c r="AN203" s="38" t="n"/>
      <c r="AO203" s="25">
        <f>SUM(J203:AN203)</f>
        <v/>
      </c>
      <c r="AQ203" s="25" t="n"/>
      <c r="AR203" s="25" t="n"/>
      <c r="AS203" s="26" t="n"/>
      <c r="AT203" s="27">
        <f>IF(AS203&gt;0, AO203/AS203, "")</f>
        <v/>
      </c>
    </row>
    <row r="204" hidden="1" s="69">
      <c r="A204" s="39" t="n"/>
      <c r="B204" s="40" t="n"/>
      <c r="C204" s="40" t="n"/>
      <c r="D204" s="40" t="n"/>
      <c r="E204" s="40" t="n"/>
      <c r="F204" s="40" t="n"/>
      <c r="G204" s="40" t="n"/>
      <c r="H204" s="41" t="n"/>
      <c r="I204" s="6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  <c r="AA204" s="38" t="n"/>
      <c r="AB204" s="38" t="n"/>
      <c r="AC204" s="38" t="n"/>
      <c r="AD204" s="38" t="n"/>
      <c r="AE204" s="38" t="n"/>
      <c r="AF204" s="38" t="n"/>
      <c r="AG204" s="38" t="n"/>
      <c r="AH204" s="38" t="n"/>
      <c r="AI204" s="38" t="n"/>
      <c r="AJ204" s="38" t="n"/>
      <c r="AK204" s="38" t="n"/>
      <c r="AL204" s="38" t="n"/>
      <c r="AM204" s="38" t="n"/>
      <c r="AN204" s="38" t="n"/>
      <c r="AO204" s="25">
        <f>SUM(J204:AN204)</f>
        <v/>
      </c>
      <c r="AQ204" s="25" t="n"/>
      <c r="AR204" s="25" t="n"/>
      <c r="AS204" s="26" t="n"/>
      <c r="AT204" s="27">
        <f>IF(AS204&gt;0, AO204/AS204, "")</f>
        <v/>
      </c>
    </row>
    <row r="205" hidden="1" s="69">
      <c r="A205" s="39" t="n"/>
      <c r="B205" s="40" t="n"/>
      <c r="C205" s="40" t="n"/>
      <c r="D205" s="40" t="n"/>
      <c r="E205" s="40" t="n"/>
      <c r="F205" s="40" t="n"/>
      <c r="G205" s="40" t="n"/>
      <c r="H205" s="41" t="n"/>
      <c r="I205" s="6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n"/>
      <c r="AD205" s="38" t="n"/>
      <c r="AE205" s="38" t="n"/>
      <c r="AF205" s="38" t="n"/>
      <c r="AG205" s="38" t="n"/>
      <c r="AH205" s="38" t="n"/>
      <c r="AI205" s="38" t="n"/>
      <c r="AJ205" s="38" t="n"/>
      <c r="AK205" s="38" t="n"/>
      <c r="AL205" s="38" t="n"/>
      <c r="AM205" s="38" t="n"/>
      <c r="AN205" s="38" t="n"/>
      <c r="AO205" s="25">
        <f>SUM(J205:AN205)</f>
        <v/>
      </c>
      <c r="AQ205" s="25" t="n"/>
      <c r="AR205" s="25" t="n"/>
      <c r="AS205" s="26" t="n"/>
      <c r="AT205" s="27">
        <f>IF(AS205&gt;0, AO205/AS205, "")</f>
        <v/>
      </c>
    </row>
    <row r="206" hidden="1" s="69">
      <c r="A206" s="39" t="n"/>
      <c r="B206" s="40" t="n"/>
      <c r="C206" s="40" t="n"/>
      <c r="D206" s="40" t="n"/>
      <c r="E206" s="40" t="n"/>
      <c r="F206" s="40" t="n"/>
      <c r="G206" s="40" t="n"/>
      <c r="H206" s="41" t="n"/>
      <c r="I206" s="6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  <c r="AA206" s="38" t="n"/>
      <c r="AB206" s="38" t="n"/>
      <c r="AC206" s="38" t="n"/>
      <c r="AD206" s="38" t="n"/>
      <c r="AE206" s="38" t="n"/>
      <c r="AF206" s="38" t="n"/>
      <c r="AG206" s="38" t="n"/>
      <c r="AH206" s="38" t="n"/>
      <c r="AI206" s="38" t="n"/>
      <c r="AJ206" s="38" t="n"/>
      <c r="AK206" s="38" t="n"/>
      <c r="AL206" s="38" t="n"/>
      <c r="AM206" s="38" t="n"/>
      <c r="AN206" s="38" t="n"/>
      <c r="AO206" s="25">
        <f>SUM(J206:AN206)</f>
        <v/>
      </c>
      <c r="AQ206" s="25" t="n"/>
      <c r="AR206" s="25" t="n"/>
      <c r="AS206" s="26" t="n"/>
      <c r="AT206" s="27">
        <f>IF(AS206&gt;0, AO206/AS206, "")</f>
        <v/>
      </c>
    </row>
    <row r="207">
      <c r="A207" s="38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n"/>
      <c r="AD207" s="38" t="n"/>
      <c r="AE207" s="38" t="n"/>
      <c r="AF207" s="38" t="n"/>
      <c r="AG207" s="38" t="n"/>
      <c r="AH207" s="38" t="n"/>
      <c r="AI207" s="38" t="n"/>
      <c r="AJ207" s="38" t="n"/>
      <c r="AK207" s="38" t="n"/>
      <c r="AL207" s="38" t="n"/>
      <c r="AM207" s="38" t="n"/>
      <c r="AN207" s="38" t="n"/>
      <c r="AO207" s="38" t="n"/>
      <c r="AQ207" s="38" t="n"/>
      <c r="AR207" s="38" t="n"/>
      <c r="AS207" s="38" t="n"/>
      <c r="AT207" s="38" t="n"/>
    </row>
    <row r="208">
      <c r="A208" s="55" t="inlineStr">
        <is>
          <t>🍂</t>
        </is>
      </c>
      <c r="B208" s="55" t="inlineStr">
        <is>
          <t>OCTOBER</t>
        </is>
      </c>
      <c r="I208" s="71">
        <f>DATE($D$1,10,1)</f>
        <v/>
      </c>
      <c r="J208" s="16">
        <f>I208</f>
        <v/>
      </c>
      <c r="K208" s="16">
        <f>J208+1</f>
        <v/>
      </c>
      <c r="L208" s="16">
        <f>K208+1</f>
        <v/>
      </c>
      <c r="M208" s="16">
        <f>L208+1</f>
        <v/>
      </c>
      <c r="N208" s="16">
        <f>M208+1</f>
        <v/>
      </c>
      <c r="O208" s="16">
        <f>N208+1</f>
        <v/>
      </c>
      <c r="P208" s="16">
        <f>O208+1</f>
        <v/>
      </c>
      <c r="Q208" s="16">
        <f>P208+1</f>
        <v/>
      </c>
      <c r="R208" s="16">
        <f>Q208+1</f>
        <v/>
      </c>
      <c r="S208" s="16">
        <f>R208+1</f>
        <v/>
      </c>
      <c r="T208" s="16">
        <f>S208+1</f>
        <v/>
      </c>
      <c r="U208" s="16">
        <f>T208+1</f>
        <v/>
      </c>
      <c r="V208" s="16">
        <f>U208+1</f>
        <v/>
      </c>
      <c r="W208" s="16">
        <f>V208+1</f>
        <v/>
      </c>
      <c r="X208" s="16">
        <f>W208+1</f>
        <v/>
      </c>
      <c r="Y208" s="16">
        <f>X208+1</f>
        <v/>
      </c>
      <c r="Z208" s="16">
        <f>Y208+1</f>
        <v/>
      </c>
      <c r="AA208" s="16">
        <f>Z208+1</f>
        <v/>
      </c>
      <c r="AB208" s="16">
        <f>AA208+1</f>
        <v/>
      </c>
      <c r="AC208" s="16">
        <f>AB208+1</f>
        <v/>
      </c>
      <c r="AD208" s="16">
        <f>AC208+1</f>
        <v/>
      </c>
      <c r="AE208" s="16">
        <f>AD208+1</f>
        <v/>
      </c>
      <c r="AF208" s="16">
        <f>AE208+1</f>
        <v/>
      </c>
      <c r="AG208" s="16">
        <f>AF208+1</f>
        <v/>
      </c>
      <c r="AH208" s="16">
        <f>AG208+1</f>
        <v/>
      </c>
      <c r="AI208" s="16">
        <f>AH208+1</f>
        <v/>
      </c>
      <c r="AJ208" s="16">
        <f>AI208+1</f>
        <v/>
      </c>
      <c r="AK208" s="16">
        <f>AJ208+1</f>
        <v/>
      </c>
      <c r="AL208" s="16">
        <f>AK208+1</f>
        <v/>
      </c>
      <c r="AM208" s="16">
        <f>AL208+1</f>
        <v/>
      </c>
      <c r="AN208" s="16">
        <f>AM208+1</f>
        <v/>
      </c>
      <c r="AO208" s="17" t="inlineStr">
        <is>
          <t>TOTAL</t>
        </is>
      </c>
      <c r="AQ208" s="18" t="inlineStr">
        <is>
          <t>current streak 🔥</t>
        </is>
      </c>
      <c r="AR208" s="18" t="inlineStr">
        <is>
          <t>longest streak😼</t>
        </is>
      </c>
      <c r="AS208" s="18" t="inlineStr">
        <is>
          <t>Goal🔢</t>
        </is>
      </c>
      <c r="AT208" s="18" t="inlineStr">
        <is>
          <t>Progress
📈</t>
        </is>
      </c>
    </row>
    <row r="209" ht="15" customHeight="1" s="69">
      <c r="A209" s="34" t="n"/>
      <c r="B209" s="34" t="n"/>
      <c r="I209" s="35" t="n"/>
      <c r="J209" s="36">
        <f>J208</f>
        <v/>
      </c>
      <c r="K209" s="36">
        <f>K208</f>
        <v/>
      </c>
      <c r="L209" s="36">
        <f>L208</f>
        <v/>
      </c>
      <c r="M209" s="36">
        <f>M208</f>
        <v/>
      </c>
      <c r="N209" s="36">
        <f>N208</f>
        <v/>
      </c>
      <c r="O209" s="36">
        <f>O208</f>
        <v/>
      </c>
      <c r="P209" s="36">
        <f>P208</f>
        <v/>
      </c>
      <c r="Q209" s="36">
        <f>Q208</f>
        <v/>
      </c>
      <c r="R209" s="36">
        <f>R208</f>
        <v/>
      </c>
      <c r="S209" s="36">
        <f>S208</f>
        <v/>
      </c>
      <c r="T209" s="36">
        <f>T208</f>
        <v/>
      </c>
      <c r="U209" s="36">
        <f>U208</f>
        <v/>
      </c>
      <c r="V209" s="36">
        <f>V208</f>
        <v/>
      </c>
      <c r="W209" s="36">
        <f>W208</f>
        <v/>
      </c>
      <c r="X209" s="36">
        <f>X208</f>
        <v/>
      </c>
      <c r="Y209" s="36">
        <f>Y208</f>
        <v/>
      </c>
      <c r="Z209" s="36">
        <f>Z208</f>
        <v/>
      </c>
      <c r="AA209" s="36">
        <f>AA208</f>
        <v/>
      </c>
      <c r="AB209" s="36">
        <f>AB208</f>
        <v/>
      </c>
      <c r="AC209" s="36">
        <f>AC208</f>
        <v/>
      </c>
      <c r="AD209" s="36">
        <f>AD208</f>
        <v/>
      </c>
      <c r="AE209" s="36">
        <f>AE208</f>
        <v/>
      </c>
      <c r="AF209" s="36">
        <f>AF208</f>
        <v/>
      </c>
      <c r="AG209" s="36">
        <f>AG208</f>
        <v/>
      </c>
      <c r="AH209" s="36">
        <f>AH208</f>
        <v/>
      </c>
      <c r="AI209" s="36">
        <f>AI208</f>
        <v/>
      </c>
      <c r="AJ209" s="36">
        <f>AJ208</f>
        <v/>
      </c>
      <c r="AK209" s="36">
        <f>AK208</f>
        <v/>
      </c>
      <c r="AL209" s="36">
        <f>AL208</f>
        <v/>
      </c>
      <c r="AM209" s="36">
        <f>AM208</f>
        <v/>
      </c>
      <c r="AN209" s="36">
        <f>AN208</f>
        <v/>
      </c>
    </row>
    <row r="210">
      <c r="A210" s="57" t="n"/>
      <c r="B210" s="52" t="inlineStr">
        <is>
          <t>Пн</t>
        </is>
      </c>
      <c r="C210" s="52" t="inlineStr">
        <is>
          <t>Вт</t>
        </is>
      </c>
      <c r="D210" s="52" t="inlineStr">
        <is>
          <t>Ср</t>
        </is>
      </c>
      <c r="E210" s="52" t="inlineStr">
        <is>
          <t>Чт</t>
        </is>
      </c>
      <c r="F210" s="52" t="inlineStr">
        <is>
          <t>Пт</t>
        </is>
      </c>
      <c r="G210" s="52" t="inlineStr">
        <is>
          <t>Сб</t>
        </is>
      </c>
      <c r="H210" s="52" t="inlineStr">
        <is>
          <t>Вс</t>
        </is>
      </c>
      <c r="I210" s="6">
        <f>ARRAYFORMULA(Setup!B3:B22)</f>
        <v/>
      </c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38" t="n"/>
      <c r="AC210" s="38" t="n"/>
      <c r="AD210" s="38" t="n"/>
      <c r="AE210" s="38" t="n"/>
      <c r="AF210" s="38" t="n"/>
      <c r="AG210" s="38" t="n"/>
      <c r="AH210" s="38" t="n"/>
      <c r="AI210" s="38" t="n"/>
      <c r="AJ210" s="38" t="n"/>
      <c r="AK210" s="38" t="n"/>
      <c r="AL210" s="38" t="n"/>
      <c r="AM210" s="38" t="n"/>
      <c r="AN210" s="38" t="n"/>
      <c r="AO210" s="25">
        <f>SUM(J210:AN210)</f>
        <v/>
      </c>
      <c r="AQ210" s="25" t="n"/>
      <c r="AR210" s="25" t="n"/>
      <c r="AS210" s="26" t="n"/>
      <c r="AT210" s="27">
        <f>IF(AS210&gt;0, AO210/AS210, "")</f>
        <v/>
      </c>
    </row>
    <row r="211">
      <c r="A211" s="28">
        <f>WEEKNUM(B211,2)</f>
        <v/>
      </c>
      <c r="B211" s="29">
        <f>IFERROR(DATE($D$1, MONTH(I208), 1) - WEEKDAY(DATE($D$1, MONTH(I208), 1), 2) + 1 + 0*7 + 0, "")</f>
        <v/>
      </c>
      <c r="C211" s="30">
        <f>IFERROR(DATE($D$1, MONTH(I208), 1) - WEEKDAY(DATE($D$1, MONTH(I208), 1), 2) + 1 + 0*7 + 1, "")</f>
        <v/>
      </c>
      <c r="D211" s="30">
        <f>IFERROR(DATE($D$1, MONTH(I208), 1) - WEEKDAY(DATE($D$1, MONTH(I208), 1), 2) + 1 + 0*7 + 2, "")</f>
        <v/>
      </c>
      <c r="E211" s="30">
        <f>IFERROR(DATE($D$1, MONTH(I208), 1) - WEEKDAY(DATE($D$1, MONTH(I208), 1), 2) + 1 + 0*7 + 3, "")</f>
        <v/>
      </c>
      <c r="F211" s="30">
        <f>IFERROR(DATE($D$1, MONTH(I208), 1) - WEEKDAY(DATE($D$1, MONTH(I208), 1), 2) + 1 + 0*7 + 4, "")</f>
        <v/>
      </c>
      <c r="G211" s="30">
        <f>IFERROR(DATE($D$1, MONTH(I208), 1) - WEEKDAY(DATE($D$1, MONTH(I208), 1), 2) + 1 + 0*7 + 5, "")</f>
        <v/>
      </c>
      <c r="H211" s="30">
        <f>IFERROR(DATE($D$1, MONTH(I208), 1) - WEEKDAY(DATE($D$1, MONTH(I208), 1), 2) + 1 + 0*7 + 6, "")</f>
        <v/>
      </c>
      <c r="I211" s="6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n"/>
      <c r="AD211" s="38" t="n"/>
      <c r="AE211" s="38" t="n"/>
      <c r="AF211" s="38" t="n"/>
      <c r="AG211" s="38" t="n"/>
      <c r="AH211" s="38" t="n"/>
      <c r="AI211" s="38" t="n"/>
      <c r="AJ211" s="38" t="n"/>
      <c r="AK211" s="38" t="n"/>
      <c r="AL211" s="38" t="n"/>
      <c r="AM211" s="38" t="n"/>
      <c r="AN211" s="38" t="n"/>
      <c r="AO211" s="25">
        <f>SUM(J211:AN211)</f>
        <v/>
      </c>
      <c r="AQ211" s="25" t="n"/>
      <c r="AR211" s="25" t="n"/>
      <c r="AS211" s="26" t="n"/>
      <c r="AT211" s="27">
        <f>IF(AS211&gt;0, AO211/AS211, "")</f>
        <v/>
      </c>
    </row>
    <row r="212">
      <c r="A212" s="31">
        <f>WEEKNUM(B212,2)</f>
        <v/>
      </c>
      <c r="B212" s="30">
        <f>IFERROR(DATE($D$1, MONTH(I208), 1) - WEEKDAY(DATE($D$1, MONTH(I208), 1), 2) + 1 + 1*7 + 0, "")</f>
        <v/>
      </c>
      <c r="C212" s="30">
        <f>IFERROR(DATE($D$1, MONTH(I208), 1) - WEEKDAY(DATE($D$1, MONTH(I208), 1), 2) + 1 + 1*7 + 1, "")</f>
        <v/>
      </c>
      <c r="D212" s="30">
        <f>IFERROR(DATE($D$1, MONTH(I208), 1) - WEEKDAY(DATE($D$1, MONTH(I208), 1), 2) + 1 + 1*7 + 2, "")</f>
        <v/>
      </c>
      <c r="E212" s="30">
        <f>IFERROR(DATE($D$1, MONTH(I208), 1) - WEEKDAY(DATE($D$1, MONTH(I208), 1), 2) + 1 + 1*7 + 3, "")</f>
        <v/>
      </c>
      <c r="F212" s="30">
        <f>IFERROR(DATE($D$1, MONTH(I208), 1) - WEEKDAY(DATE($D$1, MONTH(I208), 1), 2) + 1 + 1*7 + 4, "")</f>
        <v/>
      </c>
      <c r="G212" s="30">
        <f>IFERROR(DATE($D$1, MONTH(I208), 1) - WEEKDAY(DATE($D$1, MONTH(I208), 1), 2) + 1 + 1*7 + 5, "")</f>
        <v/>
      </c>
      <c r="H212" s="30">
        <f>IFERROR(DATE($D$1, MONTH(I208), 1) - WEEKDAY(DATE($D$1, MONTH(I208), 1), 2) + 1 + 1*7 + 6, "")</f>
        <v/>
      </c>
      <c r="I212" s="6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38" t="n"/>
      <c r="AC212" s="38" t="n"/>
      <c r="AD212" s="38" t="n"/>
      <c r="AE212" s="38" t="n"/>
      <c r="AF212" s="38" t="n"/>
      <c r="AG212" s="38" t="n"/>
      <c r="AH212" s="38" t="n"/>
      <c r="AI212" s="38" t="n"/>
      <c r="AJ212" s="38" t="n"/>
      <c r="AK212" s="38" t="n"/>
      <c r="AL212" s="38" t="n"/>
      <c r="AM212" s="38" t="n"/>
      <c r="AN212" s="38" t="n"/>
      <c r="AO212" s="25">
        <f>SUM(J212:AN212)</f>
        <v/>
      </c>
      <c r="AQ212" s="25" t="n"/>
      <c r="AR212" s="25" t="n"/>
      <c r="AS212" s="26" t="n"/>
      <c r="AT212" s="27">
        <f>IF(AS212&gt;0, AO212/AS212, "")</f>
        <v/>
      </c>
    </row>
    <row r="213">
      <c r="A213" s="31">
        <f>WEEKNUM(B213,2)</f>
        <v/>
      </c>
      <c r="B213" s="30">
        <f>IFERROR(DATE($D$1, MONTH(I208), 1) - WEEKDAY(DATE($D$1, MONTH(I208), 1), 2) + 1 + 2*7 + 0, "")</f>
        <v/>
      </c>
      <c r="C213" s="30">
        <f>IFERROR(DATE($D$1, MONTH(I208), 1) - WEEKDAY(DATE($D$1, MONTH(I208), 1), 2) + 1 + 2*7 + 1, "")</f>
        <v/>
      </c>
      <c r="D213" s="30">
        <f>IFERROR(DATE($D$1, MONTH(I208), 1) - WEEKDAY(DATE($D$1, MONTH(I208), 1), 2) + 1 + 2*7 + 2, "")</f>
        <v/>
      </c>
      <c r="E213" s="30">
        <f>IFERROR(DATE($D$1, MONTH(I208), 1) - WEEKDAY(DATE($D$1, MONTH(I208), 1), 2) + 1 + 2*7 + 3, "")</f>
        <v/>
      </c>
      <c r="F213" s="30">
        <f>IFERROR(DATE($D$1, MONTH(I208), 1) - WEEKDAY(DATE($D$1, MONTH(I208), 1), 2) + 1 + 2*7 + 4, "")</f>
        <v/>
      </c>
      <c r="G213" s="30">
        <f>IFERROR(DATE($D$1, MONTH(I208), 1) - WEEKDAY(DATE($D$1, MONTH(I208), 1), 2) + 1 + 2*7 + 5, "")</f>
        <v/>
      </c>
      <c r="H213" s="30">
        <f>IFERROR(DATE($D$1, MONTH(I208), 1) - WEEKDAY(DATE($D$1, MONTH(I208), 1), 2) + 1 + 2*7 + 6, "")</f>
        <v/>
      </c>
      <c r="I213" s="6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n"/>
      <c r="AD213" s="38" t="n"/>
      <c r="AE213" s="38" t="n"/>
      <c r="AF213" s="38" t="n"/>
      <c r="AG213" s="38" t="n"/>
      <c r="AH213" s="38" t="n"/>
      <c r="AI213" s="38" t="n"/>
      <c r="AJ213" s="38" t="n"/>
      <c r="AK213" s="38" t="n"/>
      <c r="AL213" s="38" t="n"/>
      <c r="AM213" s="38" t="n"/>
      <c r="AN213" s="38" t="n"/>
      <c r="AO213" s="25">
        <f>SUM(J213:AN213)</f>
        <v/>
      </c>
      <c r="AQ213" s="25" t="n"/>
      <c r="AR213" s="25" t="n"/>
      <c r="AS213" s="26" t="n"/>
      <c r="AT213" s="27">
        <f>IF(AS213&gt;0, AO213/AS213, "")</f>
        <v/>
      </c>
    </row>
    <row r="214">
      <c r="A214" s="31">
        <f>WEEKNUM(B214,2)</f>
        <v/>
      </c>
      <c r="B214" s="30">
        <f>IFERROR(DATE($D$1, MONTH(I208), 1) - WEEKDAY(DATE($D$1, MONTH(I208), 1), 2) + 1 + 3*7 + 0, "")</f>
        <v/>
      </c>
      <c r="C214" s="30">
        <f>IFERROR(DATE($D$1, MONTH(I208), 1) - WEEKDAY(DATE($D$1, MONTH(I208), 1), 2) + 1 + 3*7 + 1, "")</f>
        <v/>
      </c>
      <c r="D214" s="30">
        <f>IFERROR(DATE($D$1, MONTH(I208), 1) - WEEKDAY(DATE($D$1, MONTH(I208), 1), 2) + 1 + 3*7 + 2, "")</f>
        <v/>
      </c>
      <c r="E214" s="30">
        <f>IFERROR(DATE($D$1, MONTH(I208), 1) - WEEKDAY(DATE($D$1, MONTH(I208), 1), 2) + 1 + 3*7 + 3, "")</f>
        <v/>
      </c>
      <c r="F214" s="30">
        <f>IFERROR(DATE($D$1, MONTH(I208), 1) - WEEKDAY(DATE($D$1, MONTH(I208), 1), 2) + 1 + 3*7 + 4, "")</f>
        <v/>
      </c>
      <c r="G214" s="30">
        <f>IFERROR(DATE($D$1, MONTH(I208), 1) - WEEKDAY(DATE($D$1, MONTH(I208), 1), 2) + 1 + 3*7 + 5, "")</f>
        <v/>
      </c>
      <c r="H214" s="30">
        <f>IFERROR(DATE($D$1, MONTH(I208), 1) - WEEKDAY(DATE($D$1, MONTH(I208), 1), 2) + 1 + 3*7 + 6, "")</f>
        <v/>
      </c>
      <c r="I214" s="6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  <c r="AA214" s="38" t="n"/>
      <c r="AB214" s="38" t="n"/>
      <c r="AC214" s="38" t="n"/>
      <c r="AD214" s="38" t="n"/>
      <c r="AE214" s="38" t="n"/>
      <c r="AF214" s="38" t="n"/>
      <c r="AG214" s="38" t="n"/>
      <c r="AH214" s="38" t="n"/>
      <c r="AI214" s="38" t="n"/>
      <c r="AJ214" s="38" t="n"/>
      <c r="AK214" s="38" t="n"/>
      <c r="AL214" s="38" t="n"/>
      <c r="AM214" s="38" t="n"/>
      <c r="AN214" s="38" t="n"/>
      <c r="AO214" s="25">
        <f>SUM(J214:AN214)</f>
        <v/>
      </c>
      <c r="AQ214" s="25" t="n"/>
      <c r="AR214" s="25" t="n"/>
      <c r="AS214" s="26" t="n"/>
      <c r="AT214" s="27">
        <f>IF(AS214&gt;0, AO214/AS214, "")</f>
        <v/>
      </c>
    </row>
    <row r="215">
      <c r="A215" s="31">
        <f>WEEKNUM(B215,2)</f>
        <v/>
      </c>
      <c r="B215" s="30">
        <f>IFERROR(DATE($D$1, MONTH(I208), 1) - WEEKDAY(DATE($D$1, MONTH(I208), 1), 2) + 1 + 4*7 + 0, "")</f>
        <v/>
      </c>
      <c r="C215" s="30">
        <f>IFERROR(DATE($D$1, MONTH(I208), 1) - WEEKDAY(DATE($D$1, MONTH(I208), 1), 2) + 1 + 4*7 + 1, "")</f>
        <v/>
      </c>
      <c r="D215" s="30">
        <f>IFERROR(DATE($D$1, MONTH(I208), 1) - WEEKDAY(DATE($D$1, MONTH(I208), 1), 2) + 1 + 4*7 + 2, "")</f>
        <v/>
      </c>
      <c r="E215" s="30">
        <f>IFERROR(DATE($D$1, MONTH(I208), 1) - WEEKDAY(DATE($D$1, MONTH(I208), 1), 2) + 1 + 4*7 + 3, "")</f>
        <v/>
      </c>
      <c r="F215" s="30">
        <f>IFERROR(DATE($D$1, MONTH(I208), 1) - WEEKDAY(DATE($D$1, MONTH(I208), 1), 2) + 1 + 4*7 + 4, "")</f>
        <v/>
      </c>
      <c r="G215" s="30">
        <f>IFERROR(DATE($D$1, MONTH(I208), 1) - WEEKDAY(DATE($D$1, MONTH(I208), 1), 2) + 1 + 4*7 + 5, "")</f>
        <v/>
      </c>
      <c r="H215" s="30">
        <f>IFERROR(DATE($D$1, MONTH(I208), 1) - WEEKDAY(DATE($D$1, MONTH(I208), 1), 2) + 1 + 4*7 + 6, "")</f>
        <v/>
      </c>
      <c r="I215" s="6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n"/>
      <c r="AD215" s="38" t="n"/>
      <c r="AE215" s="38" t="n"/>
      <c r="AF215" s="38" t="n"/>
      <c r="AG215" s="38" t="n"/>
      <c r="AH215" s="38" t="n"/>
      <c r="AI215" s="38" t="n"/>
      <c r="AJ215" s="38" t="n"/>
      <c r="AK215" s="38" t="n"/>
      <c r="AL215" s="38" t="n"/>
      <c r="AM215" s="38" t="n"/>
      <c r="AN215" s="38" t="n"/>
      <c r="AO215" s="25">
        <f>SUM(J215:AN215)</f>
        <v/>
      </c>
      <c r="AQ215" s="25" t="n"/>
      <c r="AR215" s="25" t="n"/>
      <c r="AS215" s="26" t="n"/>
      <c r="AT215" s="27">
        <f>IF(AS215&gt;0, AO215/AS215, "")</f>
        <v/>
      </c>
    </row>
    <row r="216">
      <c r="A216" s="31">
        <f>WEEKNUM(B216,2)</f>
        <v/>
      </c>
      <c r="B216" s="30">
        <f>IFERROR(DATE($D$1, MONTH(I208), 1) - WEEKDAY(DATE($D$1, MONTH(I208), 1), 2) + 1 + 5*7 + 0, "")</f>
        <v/>
      </c>
      <c r="C216" s="30">
        <f>IFERROR(DATE($D$1, MONTH(I208), 1) - WEEKDAY(DATE($D$1, MONTH(I208), 1), 2) + 1 + 5*7 + 1, "")</f>
        <v/>
      </c>
      <c r="D216" s="30">
        <f>IFERROR(DATE($D$1, MONTH(I208), 1) - WEEKDAY(DATE($D$1, MONTH(I208), 1), 2) + 1 + 5*7 + 2, "")</f>
        <v/>
      </c>
      <c r="E216" s="30">
        <f>IFERROR(DATE($D$1, MONTH(I208), 1) - WEEKDAY(DATE($D$1, MONTH(I208), 1), 2) + 1 + 5*7 + 3, "")</f>
        <v/>
      </c>
      <c r="F216" s="30">
        <f>IFERROR(DATE($D$1, MONTH(I208), 1) - WEEKDAY(DATE($D$1, MONTH(I208), 1), 2) + 1 + 5*7 + 4, "")</f>
        <v/>
      </c>
      <c r="G216" s="30">
        <f>IFERROR(DATE($D$1, MONTH(I208), 1) - WEEKDAY(DATE($D$1, MONTH(I208), 1), 2) + 1 + 5*7 + 5, "")</f>
        <v/>
      </c>
      <c r="H216" s="30">
        <f>IFERROR(DATE($D$1, MONTH(I208), 1) - WEEKDAY(DATE($D$1, MONTH(I208), 1), 2) + 1 + 5*7 + 6, "")</f>
        <v/>
      </c>
      <c r="I216" s="6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  <c r="AA216" s="38" t="n"/>
      <c r="AB216" s="38" t="n"/>
      <c r="AC216" s="38" t="n"/>
      <c r="AD216" s="38" t="n"/>
      <c r="AE216" s="38" t="n"/>
      <c r="AF216" s="38" t="n"/>
      <c r="AG216" s="38" t="n"/>
      <c r="AH216" s="38" t="n"/>
      <c r="AI216" s="38" t="n"/>
      <c r="AJ216" s="38" t="n"/>
      <c r="AK216" s="38" t="n"/>
      <c r="AL216" s="38" t="n"/>
      <c r="AM216" s="38" t="n"/>
      <c r="AN216" s="38" t="n"/>
      <c r="AO216" s="25">
        <f>SUM(J216:AN216)</f>
        <v/>
      </c>
      <c r="AQ216" s="25" t="n"/>
      <c r="AR216" s="25" t="n"/>
      <c r="AS216" s="26" t="n"/>
      <c r="AT216" s="27">
        <f>IF(AS216&gt;0, AO216/AS216, "")</f>
        <v/>
      </c>
    </row>
    <row r="217" hidden="1" s="69">
      <c r="A217" s="39" t="n"/>
      <c r="B217" s="40" t="n"/>
      <c r="C217" s="40" t="n"/>
      <c r="D217" s="41" t="n"/>
      <c r="E217" s="41" t="n"/>
      <c r="F217" s="41" t="n"/>
      <c r="G217" s="41" t="n"/>
      <c r="H217" s="41" t="n"/>
      <c r="I217" s="6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n"/>
      <c r="AD217" s="38" t="n"/>
      <c r="AE217" s="38" t="n"/>
      <c r="AF217" s="38" t="n"/>
      <c r="AG217" s="38" t="n"/>
      <c r="AH217" s="38" t="n"/>
      <c r="AI217" s="38" t="n"/>
      <c r="AJ217" s="38" t="n"/>
      <c r="AK217" s="38" t="n"/>
      <c r="AL217" s="38" t="n"/>
      <c r="AM217" s="38" t="n"/>
      <c r="AN217" s="38" t="n"/>
      <c r="AO217" s="25">
        <f>SUM(J217:AN217)</f>
        <v/>
      </c>
      <c r="AQ217" s="25" t="n"/>
      <c r="AR217" s="25" t="n"/>
      <c r="AS217" s="26" t="n"/>
      <c r="AT217" s="27">
        <f>IF(AS217&gt;0, AO217/AS217, "")</f>
        <v/>
      </c>
    </row>
    <row r="218" hidden="1" s="69">
      <c r="A218" s="39" t="n"/>
      <c r="B218" s="40" t="n"/>
      <c r="C218" s="40" t="n"/>
      <c r="D218" s="41" t="n"/>
      <c r="E218" s="41" t="n"/>
      <c r="F218" s="41" t="n"/>
      <c r="G218" s="41" t="n"/>
      <c r="H218" s="41" t="n"/>
      <c r="I218" s="6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  <c r="AA218" s="38" t="n"/>
      <c r="AB218" s="38" t="n"/>
      <c r="AC218" s="38" t="n"/>
      <c r="AD218" s="38" t="n"/>
      <c r="AE218" s="38" t="n"/>
      <c r="AF218" s="38" t="n"/>
      <c r="AG218" s="38" t="n"/>
      <c r="AH218" s="38" t="n"/>
      <c r="AI218" s="38" t="n"/>
      <c r="AJ218" s="38" t="n"/>
      <c r="AK218" s="38" t="n"/>
      <c r="AL218" s="38" t="n"/>
      <c r="AM218" s="38" t="n"/>
      <c r="AN218" s="38" t="n"/>
      <c r="AO218" s="25">
        <f>SUM(J218:AN218)</f>
        <v/>
      </c>
      <c r="AQ218" s="25" t="n"/>
      <c r="AR218" s="25" t="n"/>
      <c r="AS218" s="26" t="n"/>
      <c r="AT218" s="27">
        <f>IF(AS218&gt;0, AO218/AS218, "")</f>
        <v/>
      </c>
    </row>
    <row r="219" hidden="1" s="69">
      <c r="A219" s="39" t="n"/>
      <c r="B219" s="40" t="n"/>
      <c r="C219" s="40" t="n"/>
      <c r="D219" s="41" t="n"/>
      <c r="E219" s="41" t="n"/>
      <c r="F219" s="41" t="n"/>
      <c r="G219" s="41" t="n"/>
      <c r="H219" s="41" t="n"/>
      <c r="I219" s="6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  <c r="AF219" s="38" t="n"/>
      <c r="AG219" s="38" t="n"/>
      <c r="AH219" s="38" t="n"/>
      <c r="AI219" s="38" t="n"/>
      <c r="AJ219" s="38" t="n"/>
      <c r="AK219" s="38" t="n"/>
      <c r="AL219" s="38" t="n"/>
      <c r="AM219" s="38" t="n"/>
      <c r="AN219" s="38" t="n"/>
      <c r="AO219" s="25">
        <f>SUM(J219:AN219)</f>
        <v/>
      </c>
      <c r="AQ219" s="25" t="n"/>
      <c r="AR219" s="25" t="n"/>
      <c r="AS219" s="26" t="n"/>
      <c r="AT219" s="27">
        <f>IF(AS219&gt;0, AO219/AS219, "")</f>
        <v/>
      </c>
    </row>
    <row r="220" hidden="1" s="69">
      <c r="A220" s="39" t="n"/>
      <c r="B220" s="40" t="n"/>
      <c r="C220" s="40" t="n"/>
      <c r="D220" s="41" t="n"/>
      <c r="E220" s="41" t="n"/>
      <c r="F220" s="41" t="n"/>
      <c r="G220" s="41" t="n"/>
      <c r="H220" s="41" t="n"/>
      <c r="I220" s="6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  <c r="AA220" s="38" t="n"/>
      <c r="AB220" s="38" t="n"/>
      <c r="AC220" s="38" t="n"/>
      <c r="AD220" s="38" t="n"/>
      <c r="AE220" s="38" t="n"/>
      <c r="AF220" s="38" t="n"/>
      <c r="AG220" s="38" t="n"/>
      <c r="AH220" s="38" t="n"/>
      <c r="AI220" s="38" t="n"/>
      <c r="AJ220" s="38" t="n"/>
      <c r="AK220" s="38" t="n"/>
      <c r="AL220" s="38" t="n"/>
      <c r="AM220" s="38" t="n"/>
      <c r="AN220" s="38" t="n"/>
      <c r="AO220" s="25">
        <f>SUM(J220:AN220)</f>
        <v/>
      </c>
      <c r="AQ220" s="25" t="n"/>
      <c r="AR220" s="25" t="n"/>
      <c r="AS220" s="26" t="n"/>
      <c r="AT220" s="27">
        <f>IF(AS220&gt;0, AO220/AS220, "")</f>
        <v/>
      </c>
    </row>
    <row r="221" hidden="1" s="69">
      <c r="A221" s="39" t="n"/>
      <c r="B221" s="40" t="n"/>
      <c r="C221" s="40" t="n"/>
      <c r="D221" s="41" t="n"/>
      <c r="E221" s="41" t="n"/>
      <c r="F221" s="41" t="n"/>
      <c r="G221" s="41" t="n"/>
      <c r="H221" s="41" t="n"/>
      <c r="I221" s="6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  <c r="AF221" s="38" t="n"/>
      <c r="AG221" s="38" t="n"/>
      <c r="AH221" s="38" t="n"/>
      <c r="AI221" s="38" t="n"/>
      <c r="AJ221" s="38" t="n"/>
      <c r="AK221" s="38" t="n"/>
      <c r="AL221" s="38" t="n"/>
      <c r="AM221" s="38" t="n"/>
      <c r="AN221" s="38" t="n"/>
      <c r="AO221" s="25">
        <f>SUM(J221:AN221)</f>
        <v/>
      </c>
      <c r="AQ221" s="25" t="n"/>
      <c r="AR221" s="25" t="n"/>
      <c r="AS221" s="26" t="n"/>
      <c r="AT221" s="27">
        <f>IF(AS221&gt;0, AO221/AS221, "")</f>
        <v/>
      </c>
    </row>
    <row r="222" hidden="1" s="69">
      <c r="A222" s="39" t="n"/>
      <c r="B222" s="40" t="n"/>
      <c r="C222" s="40" t="n"/>
      <c r="D222" s="41" t="n"/>
      <c r="E222" s="41" t="n"/>
      <c r="F222" s="41" t="n"/>
      <c r="G222" s="41" t="n"/>
      <c r="H222" s="41" t="n"/>
      <c r="I222" s="6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  <c r="AA222" s="38" t="n"/>
      <c r="AB222" s="38" t="n"/>
      <c r="AC222" s="38" t="n"/>
      <c r="AD222" s="38" t="n"/>
      <c r="AE222" s="38" t="n"/>
      <c r="AF222" s="38" t="n"/>
      <c r="AG222" s="38" t="n"/>
      <c r="AH222" s="38" t="n"/>
      <c r="AI222" s="38" t="n"/>
      <c r="AJ222" s="38" t="n"/>
      <c r="AK222" s="38" t="n"/>
      <c r="AL222" s="38" t="n"/>
      <c r="AM222" s="38" t="n"/>
      <c r="AN222" s="38" t="n"/>
      <c r="AO222" s="25">
        <f>SUM(J222:AN222)</f>
        <v/>
      </c>
      <c r="AQ222" s="25" t="n"/>
      <c r="AR222" s="25" t="n"/>
      <c r="AS222" s="26" t="n"/>
      <c r="AT222" s="27">
        <f>IF(AS222&gt;0, AO222/AS222, "")</f>
        <v/>
      </c>
    </row>
    <row r="223" hidden="1" s="69">
      <c r="A223" s="39" t="n"/>
      <c r="B223" s="40" t="n"/>
      <c r="C223" s="40" t="n"/>
      <c r="D223" s="41" t="n"/>
      <c r="E223" s="41" t="n"/>
      <c r="F223" s="41" t="n"/>
      <c r="G223" s="41" t="n"/>
      <c r="H223" s="41" t="n"/>
      <c r="I223" s="6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  <c r="AF223" s="38" t="n"/>
      <c r="AG223" s="38" t="n"/>
      <c r="AH223" s="38" t="n"/>
      <c r="AI223" s="38" t="n"/>
      <c r="AJ223" s="38" t="n"/>
      <c r="AK223" s="38" t="n"/>
      <c r="AL223" s="38" t="n"/>
      <c r="AM223" s="38" t="n"/>
      <c r="AN223" s="38" t="n"/>
      <c r="AO223" s="25">
        <f>SUM(J223:AN223)</f>
        <v/>
      </c>
      <c r="AQ223" s="25" t="n"/>
      <c r="AR223" s="25" t="n"/>
      <c r="AS223" s="26" t="n"/>
      <c r="AT223" s="27">
        <f>IF(AS223&gt;0, AO223/AS223, "")</f>
        <v/>
      </c>
    </row>
    <row r="224" hidden="1" s="69">
      <c r="A224" s="39" t="n"/>
      <c r="B224" s="40" t="n"/>
      <c r="C224" s="40" t="n"/>
      <c r="D224" s="41" t="n"/>
      <c r="E224" s="41" t="n"/>
      <c r="F224" s="41" t="n"/>
      <c r="G224" s="41" t="n"/>
      <c r="H224" s="41" t="n"/>
      <c r="I224" s="6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  <c r="AA224" s="38" t="n"/>
      <c r="AB224" s="38" t="n"/>
      <c r="AC224" s="38" t="n"/>
      <c r="AD224" s="38" t="n"/>
      <c r="AE224" s="38" t="n"/>
      <c r="AF224" s="38" t="n"/>
      <c r="AG224" s="38" t="n"/>
      <c r="AH224" s="38" t="n"/>
      <c r="AI224" s="38" t="n"/>
      <c r="AJ224" s="38" t="n"/>
      <c r="AK224" s="38" t="n"/>
      <c r="AL224" s="38" t="n"/>
      <c r="AM224" s="38" t="n"/>
      <c r="AN224" s="38" t="n"/>
      <c r="AO224" s="25">
        <f>SUM(J224:AN224)</f>
        <v/>
      </c>
      <c r="AQ224" s="25" t="n"/>
      <c r="AR224" s="25" t="n"/>
      <c r="AS224" s="26" t="n"/>
      <c r="AT224" s="27">
        <f>IF(AS224&gt;0, AO224/AS224, "")</f>
        <v/>
      </c>
    </row>
    <row r="225" hidden="1" s="69">
      <c r="A225" s="39" t="n"/>
      <c r="B225" s="40" t="n"/>
      <c r="C225" s="40" t="n"/>
      <c r="D225" s="41" t="n"/>
      <c r="E225" s="41" t="n"/>
      <c r="F225" s="41" t="n"/>
      <c r="G225" s="41" t="n"/>
      <c r="H225" s="41" t="n"/>
      <c r="I225" s="6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  <c r="AA225" s="38" t="n"/>
      <c r="AB225" s="38" t="n"/>
      <c r="AC225" s="38" t="n"/>
      <c r="AD225" s="38" t="n"/>
      <c r="AE225" s="38" t="n"/>
      <c r="AF225" s="38" t="n"/>
      <c r="AG225" s="38" t="n"/>
      <c r="AH225" s="38" t="n"/>
      <c r="AI225" s="38" t="n"/>
      <c r="AJ225" s="38" t="n"/>
      <c r="AK225" s="38" t="n"/>
      <c r="AL225" s="38" t="n"/>
      <c r="AM225" s="38" t="n"/>
      <c r="AN225" s="38" t="n"/>
      <c r="AO225" s="25">
        <f>SUM(J225:AN225)</f>
        <v/>
      </c>
      <c r="AQ225" s="25" t="n"/>
      <c r="AR225" s="25" t="n"/>
      <c r="AS225" s="26" t="n"/>
      <c r="AT225" s="27">
        <f>IF(AS225&gt;0, AO225/AS225, "")</f>
        <v/>
      </c>
    </row>
    <row r="226" hidden="1" s="69">
      <c r="A226" s="39" t="n"/>
      <c r="B226" s="40" t="n"/>
      <c r="C226" s="40" t="n"/>
      <c r="D226" s="41" t="n"/>
      <c r="E226" s="41" t="n"/>
      <c r="F226" s="41" t="n"/>
      <c r="G226" s="41" t="n"/>
      <c r="H226" s="41" t="n"/>
      <c r="I226" s="6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  <c r="AA226" s="38" t="n"/>
      <c r="AB226" s="38" t="n"/>
      <c r="AC226" s="38" t="n"/>
      <c r="AD226" s="38" t="n"/>
      <c r="AE226" s="38" t="n"/>
      <c r="AF226" s="38" t="n"/>
      <c r="AG226" s="38" t="n"/>
      <c r="AH226" s="38" t="n"/>
      <c r="AI226" s="38" t="n"/>
      <c r="AJ226" s="38" t="n"/>
      <c r="AK226" s="38" t="n"/>
      <c r="AL226" s="38" t="n"/>
      <c r="AM226" s="38" t="n"/>
      <c r="AN226" s="38" t="n"/>
      <c r="AO226" s="25">
        <f>SUM(J226:AN226)</f>
        <v/>
      </c>
      <c r="AQ226" s="25" t="n"/>
      <c r="AR226" s="25" t="n"/>
      <c r="AS226" s="26" t="n"/>
      <c r="AT226" s="27">
        <f>IF(AS226&gt;0, AO226/AS226, "")</f>
        <v/>
      </c>
    </row>
    <row r="227" hidden="1" s="69">
      <c r="A227" s="39" t="n"/>
      <c r="B227" s="40" t="n"/>
      <c r="C227" s="40" t="n"/>
      <c r="D227" s="41" t="n"/>
      <c r="E227" s="41" t="n"/>
      <c r="F227" s="41" t="n"/>
      <c r="G227" s="41" t="n"/>
      <c r="H227" s="41" t="n"/>
      <c r="I227" s="6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  <c r="AA227" s="38" t="n"/>
      <c r="AB227" s="38" t="n"/>
      <c r="AC227" s="38" t="n"/>
      <c r="AD227" s="38" t="n"/>
      <c r="AE227" s="38" t="n"/>
      <c r="AF227" s="38" t="n"/>
      <c r="AG227" s="38" t="n"/>
      <c r="AH227" s="38" t="n"/>
      <c r="AI227" s="38" t="n"/>
      <c r="AJ227" s="38" t="n"/>
      <c r="AK227" s="38" t="n"/>
      <c r="AL227" s="38" t="n"/>
      <c r="AM227" s="38" t="n"/>
      <c r="AN227" s="38" t="n"/>
      <c r="AO227" s="25">
        <f>SUM(J227:AN227)</f>
        <v/>
      </c>
      <c r="AQ227" s="25" t="n"/>
      <c r="AR227" s="25" t="n"/>
      <c r="AS227" s="26" t="n"/>
      <c r="AT227" s="27">
        <f>IF(AS227&gt;0, AO227/AS227, "")</f>
        <v/>
      </c>
    </row>
    <row r="228" hidden="1" s="69">
      <c r="A228" s="39" t="n"/>
      <c r="B228" s="40" t="n"/>
      <c r="C228" s="40" t="n"/>
      <c r="D228" s="41" t="n"/>
      <c r="E228" s="41" t="n"/>
      <c r="F228" s="41" t="n"/>
      <c r="G228" s="41" t="n"/>
      <c r="H228" s="41" t="n"/>
      <c r="I228" s="6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  <c r="AA228" s="38" t="n"/>
      <c r="AB228" s="38" t="n"/>
      <c r="AC228" s="38" t="n"/>
      <c r="AD228" s="38" t="n"/>
      <c r="AE228" s="38" t="n"/>
      <c r="AF228" s="38" t="n"/>
      <c r="AG228" s="38" t="n"/>
      <c r="AH228" s="38" t="n"/>
      <c r="AI228" s="38" t="n"/>
      <c r="AJ228" s="38" t="n"/>
      <c r="AK228" s="38" t="n"/>
      <c r="AL228" s="38" t="n"/>
      <c r="AM228" s="38" t="n"/>
      <c r="AN228" s="38" t="n"/>
      <c r="AO228" s="25">
        <f>SUM(J228:AN228)</f>
        <v/>
      </c>
      <c r="AQ228" s="25" t="n"/>
      <c r="AR228" s="25" t="n"/>
      <c r="AS228" s="26" t="n"/>
      <c r="AT228" s="27">
        <f>IF(AS228&gt;0, AO228/AS228, "")</f>
        <v/>
      </c>
    </row>
    <row r="229" hidden="1" s="69">
      <c r="A229" s="39" t="n"/>
      <c r="B229" s="40" t="n"/>
      <c r="C229" s="40" t="n"/>
      <c r="D229" s="41" t="n"/>
      <c r="E229" s="41" t="n"/>
      <c r="F229" s="41" t="n"/>
      <c r="G229" s="41" t="n"/>
      <c r="H229" s="41" t="n"/>
      <c r="I229" s="6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  <c r="AA229" s="38" t="n"/>
      <c r="AB229" s="38" t="n"/>
      <c r="AC229" s="38" t="n"/>
      <c r="AD229" s="38" t="n"/>
      <c r="AE229" s="38" t="n"/>
      <c r="AF229" s="38" t="n"/>
      <c r="AG229" s="38" t="n"/>
      <c r="AH229" s="38" t="n"/>
      <c r="AI229" s="38" t="n"/>
      <c r="AJ229" s="38" t="n"/>
      <c r="AK229" s="38" t="n"/>
      <c r="AL229" s="38" t="n"/>
      <c r="AM229" s="38" t="n"/>
      <c r="AN229" s="38" t="n"/>
      <c r="AO229" s="25">
        <f>SUM(J229:AN229)</f>
        <v/>
      </c>
      <c r="AQ229" s="25" t="n"/>
      <c r="AR229" s="25" t="n"/>
      <c r="AS229" s="26" t="n"/>
      <c r="AT229" s="27">
        <f>IF(AS229&gt;0, AO229/AS229, "")</f>
        <v/>
      </c>
    </row>
    <row r="230">
      <c r="I230" s="57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38" t="n"/>
      <c r="AC230" s="38" t="n"/>
      <c r="AD230" s="38" t="n"/>
      <c r="AE230" s="38" t="n"/>
      <c r="AF230" s="38" t="n"/>
      <c r="AG230" s="38" t="n"/>
      <c r="AH230" s="38" t="n"/>
      <c r="AI230" s="38" t="n"/>
      <c r="AJ230" s="38" t="n"/>
      <c r="AK230" s="38" t="n"/>
      <c r="AL230" s="38" t="n"/>
      <c r="AM230" s="38" t="n"/>
      <c r="AN230" s="38" t="n"/>
      <c r="AO230" s="38" t="n"/>
      <c r="AQ230" s="38" t="n"/>
      <c r="AR230" s="38" t="n"/>
      <c r="AS230" s="38" t="n"/>
      <c r="AT230" s="38" t="n"/>
    </row>
    <row r="231">
      <c r="A231" s="55" t="inlineStr">
        <is>
          <t>🧥</t>
        </is>
      </c>
      <c r="B231" s="55" t="inlineStr">
        <is>
          <t>NOVEMBER</t>
        </is>
      </c>
      <c r="I231" s="71">
        <f>DATE($D$1,11,1)</f>
        <v/>
      </c>
      <c r="J231" s="16">
        <f>I231</f>
        <v/>
      </c>
      <c r="K231" s="16">
        <f>J231+1</f>
        <v/>
      </c>
      <c r="L231" s="16">
        <f>K231+1</f>
        <v/>
      </c>
      <c r="M231" s="16">
        <f>L231+1</f>
        <v/>
      </c>
      <c r="N231" s="16">
        <f>M231+1</f>
        <v/>
      </c>
      <c r="O231" s="16">
        <f>N231+1</f>
        <v/>
      </c>
      <c r="P231" s="16">
        <f>O231+1</f>
        <v/>
      </c>
      <c r="Q231" s="16">
        <f>P231+1</f>
        <v/>
      </c>
      <c r="R231" s="16">
        <f>Q231+1</f>
        <v/>
      </c>
      <c r="S231" s="16">
        <f>R231+1</f>
        <v/>
      </c>
      <c r="T231" s="16">
        <f>S231+1</f>
        <v/>
      </c>
      <c r="U231" s="16">
        <f>T231+1</f>
        <v/>
      </c>
      <c r="V231" s="16">
        <f>U231+1</f>
        <v/>
      </c>
      <c r="W231" s="16">
        <f>V231+1</f>
        <v/>
      </c>
      <c r="X231" s="16">
        <f>W231+1</f>
        <v/>
      </c>
      <c r="Y231" s="16">
        <f>X231+1</f>
        <v/>
      </c>
      <c r="Z231" s="16">
        <f>Y231+1</f>
        <v/>
      </c>
      <c r="AA231" s="16">
        <f>Z231+1</f>
        <v/>
      </c>
      <c r="AB231" s="16">
        <f>AA231+1</f>
        <v/>
      </c>
      <c r="AC231" s="16">
        <f>AB231+1</f>
        <v/>
      </c>
      <c r="AD231" s="16">
        <f>AC231+1</f>
        <v/>
      </c>
      <c r="AE231" s="16">
        <f>AD231+1</f>
        <v/>
      </c>
      <c r="AF231" s="16">
        <f>AE231+1</f>
        <v/>
      </c>
      <c r="AG231" s="16">
        <f>AF231+1</f>
        <v/>
      </c>
      <c r="AH231" s="16">
        <f>AG231+1</f>
        <v/>
      </c>
      <c r="AI231" s="16">
        <f>AH231+1</f>
        <v/>
      </c>
      <c r="AJ231" s="16">
        <f>AI231+1</f>
        <v/>
      </c>
      <c r="AK231" s="16">
        <f>AJ231+1</f>
        <v/>
      </c>
      <c r="AL231" s="16">
        <f>AK231+1</f>
        <v/>
      </c>
      <c r="AM231" s="16">
        <f>AL231+1</f>
        <v/>
      </c>
      <c r="AN231" s="54" t="n"/>
      <c r="AO231" s="17" t="inlineStr">
        <is>
          <t>TOTAL</t>
        </is>
      </c>
      <c r="AQ231" s="18" t="inlineStr">
        <is>
          <t>current streak 🔥</t>
        </is>
      </c>
      <c r="AR231" s="18" t="inlineStr">
        <is>
          <t>longest streak😼</t>
        </is>
      </c>
      <c r="AS231" s="18" t="inlineStr">
        <is>
          <t>Goal🔢</t>
        </is>
      </c>
      <c r="AT231" s="18" t="inlineStr">
        <is>
          <t>Progress
📈</t>
        </is>
      </c>
    </row>
    <row r="232" ht="15" customHeight="1" s="69">
      <c r="A232" s="34" t="n"/>
      <c r="B232" s="34" t="n"/>
      <c r="I232" s="35" t="n"/>
      <c r="J232" s="36">
        <f>J231</f>
        <v/>
      </c>
      <c r="K232" s="36">
        <f>K231</f>
        <v/>
      </c>
      <c r="L232" s="36">
        <f>L231</f>
        <v/>
      </c>
      <c r="M232" s="36">
        <f>M231</f>
        <v/>
      </c>
      <c r="N232" s="36">
        <f>N231</f>
        <v/>
      </c>
      <c r="O232" s="36">
        <f>O231</f>
        <v/>
      </c>
      <c r="P232" s="36">
        <f>P231</f>
        <v/>
      </c>
      <c r="Q232" s="36">
        <f>Q231</f>
        <v/>
      </c>
      <c r="R232" s="36">
        <f>R231</f>
        <v/>
      </c>
      <c r="S232" s="36">
        <f>S231</f>
        <v/>
      </c>
      <c r="T232" s="36">
        <f>T231</f>
        <v/>
      </c>
      <c r="U232" s="36">
        <f>U231</f>
        <v/>
      </c>
      <c r="V232" s="36">
        <f>V231</f>
        <v/>
      </c>
      <c r="W232" s="36">
        <f>W231</f>
        <v/>
      </c>
      <c r="X232" s="36">
        <f>X231</f>
        <v/>
      </c>
      <c r="Y232" s="36">
        <f>Y231</f>
        <v/>
      </c>
      <c r="Z232" s="36">
        <f>Z231</f>
        <v/>
      </c>
      <c r="AA232" s="36">
        <f>AA231</f>
        <v/>
      </c>
      <c r="AB232" s="36">
        <f>AB231</f>
        <v/>
      </c>
      <c r="AC232" s="36">
        <f>AC231</f>
        <v/>
      </c>
      <c r="AD232" s="36">
        <f>AD231</f>
        <v/>
      </c>
      <c r="AE232" s="36">
        <f>AE231</f>
        <v/>
      </c>
      <c r="AF232" s="36">
        <f>AF231</f>
        <v/>
      </c>
      <c r="AG232" s="36">
        <f>AG231</f>
        <v/>
      </c>
      <c r="AH232" s="36">
        <f>AH231</f>
        <v/>
      </c>
      <c r="AI232" s="36">
        <f>AI231</f>
        <v/>
      </c>
      <c r="AJ232" s="36">
        <f>AJ231</f>
        <v/>
      </c>
      <c r="AK232" s="36">
        <f>AK231</f>
        <v/>
      </c>
      <c r="AL232" s="36">
        <f>AL231</f>
        <v/>
      </c>
      <c r="AM232" s="36">
        <f>AM231</f>
        <v/>
      </c>
      <c r="AN232" s="36">
        <f>AN231</f>
        <v/>
      </c>
    </row>
    <row r="233">
      <c r="A233" s="57" t="n"/>
      <c r="B233" s="52" t="inlineStr">
        <is>
          <t>Пн</t>
        </is>
      </c>
      <c r="C233" s="52" t="inlineStr">
        <is>
          <t>Вт</t>
        </is>
      </c>
      <c r="D233" s="52" t="inlineStr">
        <is>
          <t>Ср</t>
        </is>
      </c>
      <c r="E233" s="52" t="inlineStr">
        <is>
          <t>Чт</t>
        </is>
      </c>
      <c r="F233" s="52" t="inlineStr">
        <is>
          <t>Пт</t>
        </is>
      </c>
      <c r="G233" s="52" t="inlineStr">
        <is>
          <t>Сб</t>
        </is>
      </c>
      <c r="H233" s="52" t="inlineStr">
        <is>
          <t>Вс</t>
        </is>
      </c>
      <c r="I233" s="6">
        <f>ARRAYFORMULA(Setup!B3:B22)</f>
        <v/>
      </c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  <c r="AA233" s="38" t="n"/>
      <c r="AB233" s="38" t="n"/>
      <c r="AC233" s="38" t="n"/>
      <c r="AD233" s="38" t="n"/>
      <c r="AE233" s="38" t="n"/>
      <c r="AF233" s="38" t="n"/>
      <c r="AG233" s="38" t="n"/>
      <c r="AH233" s="38" t="n"/>
      <c r="AI233" s="38" t="n"/>
      <c r="AJ233" s="38" t="n"/>
      <c r="AK233" s="38" t="n"/>
      <c r="AL233" s="38" t="n"/>
      <c r="AM233" s="38" t="n"/>
      <c r="AN233" s="38" t="n"/>
      <c r="AO233" s="25">
        <f>SUM(J233:AN233)</f>
        <v/>
      </c>
      <c r="AQ233" s="25" t="n"/>
      <c r="AR233" s="25" t="n"/>
      <c r="AS233" s="26" t="n"/>
      <c r="AT233" s="27">
        <f>IF(AS233&gt;0, AO233/AS233, "")</f>
        <v/>
      </c>
    </row>
    <row r="234">
      <c r="A234" s="28">
        <f>WEEKNUM(B234,2)</f>
        <v/>
      </c>
      <c r="B234" s="29">
        <f>IFERROR(DATE($D$1, MONTH(I231), 1) - WEEKDAY(DATE($D$1, MONTH(I231), 1), 2) + 1 + 0*7 + 0, "")</f>
        <v/>
      </c>
      <c r="C234" s="30">
        <f>IFERROR(DATE($D$1, MONTH(I231), 1) - WEEKDAY(DATE($D$1, MONTH(I231), 1), 2) + 1 + 0*7 + 1, "")</f>
        <v/>
      </c>
      <c r="D234" s="30">
        <f>IFERROR(DATE($D$1, MONTH(I231), 1) - WEEKDAY(DATE($D$1, MONTH(I231), 1), 2) + 1 + 0*7 + 2, "")</f>
        <v/>
      </c>
      <c r="E234" s="30">
        <f>IFERROR(DATE($D$1, MONTH(I231), 1) - WEEKDAY(DATE($D$1, MONTH(I231), 1), 2) + 1 + 0*7 + 3, "")</f>
        <v/>
      </c>
      <c r="F234" s="30">
        <f>IFERROR(DATE($D$1, MONTH(I231), 1) - WEEKDAY(DATE($D$1, MONTH(I231), 1), 2) + 1 + 0*7 + 4, "")</f>
        <v/>
      </c>
      <c r="G234" s="30">
        <f>IFERROR(DATE($D$1, MONTH(I231), 1) - WEEKDAY(DATE($D$1, MONTH(I231), 1), 2) + 1 + 0*7 + 5, "")</f>
        <v/>
      </c>
      <c r="H234" s="30">
        <f>IFERROR(DATE($D$1, MONTH(I231), 1) - WEEKDAY(DATE($D$1, MONTH(I231), 1), 2) + 1 + 0*7 + 6, "")</f>
        <v/>
      </c>
      <c r="I234" s="6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  <c r="AA234" s="38" t="n"/>
      <c r="AB234" s="38" t="n"/>
      <c r="AC234" s="38" t="n"/>
      <c r="AD234" s="38" t="n"/>
      <c r="AE234" s="38" t="n"/>
      <c r="AF234" s="38" t="n"/>
      <c r="AG234" s="38" t="n"/>
      <c r="AH234" s="38" t="n"/>
      <c r="AI234" s="38" t="n"/>
      <c r="AJ234" s="38" t="n"/>
      <c r="AK234" s="38" t="n"/>
      <c r="AL234" s="38" t="n"/>
      <c r="AM234" s="38" t="n"/>
      <c r="AN234" s="38" t="n"/>
      <c r="AO234" s="25">
        <f>SUM(J234:AN234)</f>
        <v/>
      </c>
      <c r="AQ234" s="25" t="n"/>
      <c r="AR234" s="25" t="n"/>
      <c r="AS234" s="26" t="n"/>
      <c r="AT234" s="27">
        <f>IF(AS234&gt;0, AO234/AS234, "")</f>
        <v/>
      </c>
    </row>
    <row r="235">
      <c r="A235" s="31">
        <f>WEEKNUM(B235,2)</f>
        <v/>
      </c>
      <c r="B235" s="30">
        <f>IFERROR(DATE($D$1, MONTH(I231), 1) - WEEKDAY(DATE($D$1, MONTH(I231), 1), 2) + 1 + 1*7 + 0, "")</f>
        <v/>
      </c>
      <c r="C235" s="30">
        <f>IFERROR(DATE($D$1, MONTH(I231), 1) - WEEKDAY(DATE($D$1, MONTH(I231), 1), 2) + 1 + 1*7 + 1, "")</f>
        <v/>
      </c>
      <c r="D235" s="30">
        <f>IFERROR(DATE($D$1, MONTH(I231), 1) - WEEKDAY(DATE($D$1, MONTH(I231), 1), 2) + 1 + 1*7 + 2, "")</f>
        <v/>
      </c>
      <c r="E235" s="30">
        <f>IFERROR(DATE($D$1, MONTH(I231), 1) - WEEKDAY(DATE($D$1, MONTH(I231), 1), 2) + 1 + 1*7 + 3, "")</f>
        <v/>
      </c>
      <c r="F235" s="30">
        <f>IFERROR(DATE($D$1, MONTH(I231), 1) - WEEKDAY(DATE($D$1, MONTH(I231), 1), 2) + 1 + 1*7 + 4, "")</f>
        <v/>
      </c>
      <c r="G235" s="30">
        <f>IFERROR(DATE($D$1, MONTH(I231), 1) - WEEKDAY(DATE($D$1, MONTH(I231), 1), 2) + 1 + 1*7 + 5, "")</f>
        <v/>
      </c>
      <c r="H235" s="30">
        <f>IFERROR(DATE($D$1, MONTH(I231), 1) - WEEKDAY(DATE($D$1, MONTH(I231), 1), 2) + 1 + 1*7 + 6, "")</f>
        <v/>
      </c>
      <c r="I235" s="6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  <c r="AA235" s="38" t="n"/>
      <c r="AB235" s="38" t="n"/>
      <c r="AC235" s="38" t="n"/>
      <c r="AD235" s="38" t="n"/>
      <c r="AE235" s="38" t="n"/>
      <c r="AF235" s="38" t="n"/>
      <c r="AG235" s="38" t="n"/>
      <c r="AH235" s="38" t="n"/>
      <c r="AI235" s="38" t="n"/>
      <c r="AJ235" s="38" t="n"/>
      <c r="AK235" s="38" t="n"/>
      <c r="AL235" s="38" t="n"/>
      <c r="AM235" s="38" t="n"/>
      <c r="AN235" s="38" t="n"/>
      <c r="AO235" s="25">
        <f>SUM(J235:AN235)</f>
        <v/>
      </c>
      <c r="AQ235" s="25" t="n"/>
      <c r="AR235" s="25" t="n"/>
      <c r="AS235" s="26" t="n"/>
      <c r="AT235" s="27">
        <f>IF(AS235&gt;0, AO235/AS235, "")</f>
        <v/>
      </c>
    </row>
    <row r="236">
      <c r="A236" s="31">
        <f>WEEKNUM(B236,2)</f>
        <v/>
      </c>
      <c r="B236" s="30">
        <f>IFERROR(DATE($D$1, MONTH(I231), 1) - WEEKDAY(DATE($D$1, MONTH(I231), 1), 2) + 1 + 2*7 + 0, "")</f>
        <v/>
      </c>
      <c r="C236" s="30">
        <f>IFERROR(DATE($D$1, MONTH(I231), 1) - WEEKDAY(DATE($D$1, MONTH(I231), 1), 2) + 1 + 2*7 + 1, "")</f>
        <v/>
      </c>
      <c r="D236" s="30">
        <f>IFERROR(DATE($D$1, MONTH(I231), 1) - WEEKDAY(DATE($D$1, MONTH(I231), 1), 2) + 1 + 2*7 + 2, "")</f>
        <v/>
      </c>
      <c r="E236" s="30">
        <f>IFERROR(DATE($D$1, MONTH(I231), 1) - WEEKDAY(DATE($D$1, MONTH(I231), 1), 2) + 1 + 2*7 + 3, "")</f>
        <v/>
      </c>
      <c r="F236" s="30">
        <f>IFERROR(DATE($D$1, MONTH(I231), 1) - WEEKDAY(DATE($D$1, MONTH(I231), 1), 2) + 1 + 2*7 + 4, "")</f>
        <v/>
      </c>
      <c r="G236" s="30">
        <f>IFERROR(DATE($D$1, MONTH(I231), 1) - WEEKDAY(DATE($D$1, MONTH(I231), 1), 2) + 1 + 2*7 + 5, "")</f>
        <v/>
      </c>
      <c r="H236" s="30">
        <f>IFERROR(DATE($D$1, MONTH(I231), 1) - WEEKDAY(DATE($D$1, MONTH(I231), 1), 2) + 1 + 2*7 + 6, "")</f>
        <v/>
      </c>
      <c r="I236" s="6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  <c r="AA236" s="38" t="n"/>
      <c r="AB236" s="38" t="n"/>
      <c r="AC236" s="38" t="n"/>
      <c r="AD236" s="38" t="n"/>
      <c r="AE236" s="38" t="n"/>
      <c r="AF236" s="38" t="n"/>
      <c r="AG236" s="38" t="n"/>
      <c r="AH236" s="38" t="n"/>
      <c r="AI236" s="38" t="n"/>
      <c r="AJ236" s="38" t="n"/>
      <c r="AK236" s="38" t="n"/>
      <c r="AL236" s="38" t="n"/>
      <c r="AM236" s="38" t="n"/>
      <c r="AN236" s="38" t="n"/>
      <c r="AO236" s="25">
        <f>SUM(J236:AN236)</f>
        <v/>
      </c>
      <c r="AQ236" s="25" t="n"/>
      <c r="AR236" s="25" t="n"/>
      <c r="AS236" s="26" t="n"/>
      <c r="AT236" s="27">
        <f>IF(AS236&gt;0, AO236/AS236, "")</f>
        <v/>
      </c>
    </row>
    <row r="237">
      <c r="A237" s="31">
        <f>WEEKNUM(B237,2)</f>
        <v/>
      </c>
      <c r="B237" s="30">
        <f>IFERROR(DATE($D$1, MONTH(I231), 1) - WEEKDAY(DATE($D$1, MONTH(I231), 1), 2) + 1 + 3*7 + 0, "")</f>
        <v/>
      </c>
      <c r="C237" s="30">
        <f>IFERROR(DATE($D$1, MONTH(I231), 1) - WEEKDAY(DATE($D$1, MONTH(I231), 1), 2) + 1 + 3*7 + 1, "")</f>
        <v/>
      </c>
      <c r="D237" s="30">
        <f>IFERROR(DATE($D$1, MONTH(I231), 1) - WEEKDAY(DATE($D$1, MONTH(I231), 1), 2) + 1 + 3*7 + 2, "")</f>
        <v/>
      </c>
      <c r="E237" s="30">
        <f>IFERROR(DATE($D$1, MONTH(I231), 1) - WEEKDAY(DATE($D$1, MONTH(I231), 1), 2) + 1 + 3*7 + 3, "")</f>
        <v/>
      </c>
      <c r="F237" s="30">
        <f>IFERROR(DATE($D$1, MONTH(I231), 1) - WEEKDAY(DATE($D$1, MONTH(I231), 1), 2) + 1 + 3*7 + 4, "")</f>
        <v/>
      </c>
      <c r="G237" s="30">
        <f>IFERROR(DATE($D$1, MONTH(I231), 1) - WEEKDAY(DATE($D$1, MONTH(I231), 1), 2) + 1 + 3*7 + 5, "")</f>
        <v/>
      </c>
      <c r="H237" s="30">
        <f>IFERROR(DATE($D$1, MONTH(I231), 1) - WEEKDAY(DATE($D$1, MONTH(I231), 1), 2) + 1 + 3*7 + 6, "")</f>
        <v/>
      </c>
      <c r="I237" s="6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  <c r="AA237" s="38" t="n"/>
      <c r="AB237" s="38" t="n"/>
      <c r="AC237" s="38" t="n"/>
      <c r="AD237" s="38" t="n"/>
      <c r="AE237" s="38" t="n"/>
      <c r="AF237" s="38" t="n"/>
      <c r="AG237" s="38" t="n"/>
      <c r="AH237" s="38" t="n"/>
      <c r="AI237" s="38" t="n"/>
      <c r="AJ237" s="38" t="n"/>
      <c r="AK237" s="38" t="n"/>
      <c r="AL237" s="38" t="n"/>
      <c r="AM237" s="38" t="n"/>
      <c r="AN237" s="38" t="n"/>
      <c r="AO237" s="25">
        <f>SUM(J237:AN237)</f>
        <v/>
      </c>
      <c r="AQ237" s="25" t="n"/>
      <c r="AR237" s="25" t="n"/>
      <c r="AS237" s="26" t="n"/>
      <c r="AT237" s="27">
        <f>IF(AS237&gt;0, AO237/AS237, "")</f>
        <v/>
      </c>
    </row>
    <row r="238">
      <c r="A238" s="31">
        <f>WEEKNUM(B238,2)</f>
        <v/>
      </c>
      <c r="B238" s="30">
        <f>IFERROR(DATE($D$1, MONTH(I231), 1) - WEEKDAY(DATE($D$1, MONTH(I231), 1), 2) + 1 + 4*7 + 0, "")</f>
        <v/>
      </c>
      <c r="C238" s="30">
        <f>IFERROR(DATE($D$1, MONTH(I231), 1) - WEEKDAY(DATE($D$1, MONTH(I231), 1), 2) + 1 + 4*7 + 1, "")</f>
        <v/>
      </c>
      <c r="D238" s="30">
        <f>IFERROR(DATE($D$1, MONTH(I231), 1) - WEEKDAY(DATE($D$1, MONTH(I231), 1), 2) + 1 + 4*7 + 2, "")</f>
        <v/>
      </c>
      <c r="E238" s="30">
        <f>IFERROR(DATE($D$1, MONTH(I231), 1) - WEEKDAY(DATE($D$1, MONTH(I231), 1), 2) + 1 + 4*7 + 3, "")</f>
        <v/>
      </c>
      <c r="F238" s="30">
        <f>IFERROR(DATE($D$1, MONTH(I231), 1) - WEEKDAY(DATE($D$1, MONTH(I231), 1), 2) + 1 + 4*7 + 4, "")</f>
        <v/>
      </c>
      <c r="G238" s="30">
        <f>IFERROR(DATE($D$1, MONTH(I231), 1) - WEEKDAY(DATE($D$1, MONTH(I231), 1), 2) + 1 + 4*7 + 5, "")</f>
        <v/>
      </c>
      <c r="H238" s="30">
        <f>IFERROR(DATE($D$1, MONTH(I231), 1) - WEEKDAY(DATE($D$1, MONTH(I231), 1), 2) + 1 + 4*7 + 6, "")</f>
        <v/>
      </c>
      <c r="I238" s="6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38" t="n"/>
      <c r="Y238" s="38" t="n"/>
      <c r="Z238" s="38" t="n"/>
      <c r="AA238" s="38" t="n"/>
      <c r="AB238" s="38" t="n"/>
      <c r="AC238" s="38" t="n"/>
      <c r="AD238" s="38" t="n"/>
      <c r="AE238" s="38" t="n"/>
      <c r="AF238" s="38" t="n"/>
      <c r="AG238" s="38" t="n"/>
      <c r="AH238" s="38" t="n"/>
      <c r="AI238" s="38" t="n"/>
      <c r="AJ238" s="38" t="n"/>
      <c r="AK238" s="38" t="n"/>
      <c r="AL238" s="38" t="n"/>
      <c r="AM238" s="38" t="n"/>
      <c r="AN238" s="38" t="n"/>
      <c r="AO238" s="25">
        <f>SUM(J238:AN238)</f>
        <v/>
      </c>
      <c r="AQ238" s="25" t="n"/>
      <c r="AR238" s="25" t="n"/>
      <c r="AS238" s="26" t="n"/>
      <c r="AT238" s="27">
        <f>IF(AS238&gt;0, AO238/AS238, "")</f>
        <v/>
      </c>
    </row>
    <row r="239">
      <c r="A239" s="31">
        <f>WEEKNUM(B239,2)</f>
        <v/>
      </c>
      <c r="B239" s="30">
        <f>IFERROR(DATE($D$1, MONTH(I231), 1) - WEEKDAY(DATE($D$1, MONTH(I231), 1), 2) + 1 + 5*7 + 0, "")</f>
        <v/>
      </c>
      <c r="C239" s="30">
        <f>IFERROR(DATE($D$1, MONTH(I231), 1) - WEEKDAY(DATE($D$1, MONTH(I231), 1), 2) + 1 + 5*7 + 1, "")</f>
        <v/>
      </c>
      <c r="D239" s="30">
        <f>IFERROR(DATE($D$1, MONTH(I231), 1) - WEEKDAY(DATE($D$1, MONTH(I231), 1), 2) + 1 + 5*7 + 2, "")</f>
        <v/>
      </c>
      <c r="E239" s="30">
        <f>IFERROR(DATE($D$1, MONTH(I231), 1) - WEEKDAY(DATE($D$1, MONTH(I231), 1), 2) + 1 + 5*7 + 3, "")</f>
        <v/>
      </c>
      <c r="F239" s="30">
        <f>IFERROR(DATE($D$1, MONTH(I231), 1) - WEEKDAY(DATE($D$1, MONTH(I231), 1), 2) + 1 + 5*7 + 4, "")</f>
        <v/>
      </c>
      <c r="G239" s="30">
        <f>IFERROR(DATE($D$1, MONTH(I231), 1) - WEEKDAY(DATE($D$1, MONTH(I231), 1), 2) + 1 + 5*7 + 5, "")</f>
        <v/>
      </c>
      <c r="H239" s="30">
        <f>IFERROR(DATE($D$1, MONTH(I231), 1) - WEEKDAY(DATE($D$1, MONTH(I231), 1), 2) + 1 + 5*7 + 6, "")</f>
        <v/>
      </c>
      <c r="I239" s="6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38" t="n"/>
      <c r="Z239" s="38" t="n"/>
      <c r="AA239" s="38" t="n"/>
      <c r="AB239" s="38" t="n"/>
      <c r="AC239" s="38" t="n"/>
      <c r="AD239" s="38" t="n"/>
      <c r="AE239" s="38" t="n"/>
      <c r="AF239" s="38" t="n"/>
      <c r="AG239" s="38" t="n"/>
      <c r="AH239" s="38" t="n"/>
      <c r="AI239" s="38" t="n"/>
      <c r="AJ239" s="38" t="n"/>
      <c r="AK239" s="38" t="n"/>
      <c r="AL239" s="38" t="n"/>
      <c r="AM239" s="38" t="n"/>
      <c r="AN239" s="38" t="n"/>
      <c r="AO239" s="25">
        <f>SUM(J239:AN239)</f>
        <v/>
      </c>
      <c r="AQ239" s="25" t="n"/>
      <c r="AR239" s="25" t="n"/>
      <c r="AS239" s="26" t="n"/>
      <c r="AT239" s="27">
        <f>IF(AS239&gt;0, AO239/AS239, "")</f>
        <v/>
      </c>
    </row>
    <row r="240" hidden="1" s="69">
      <c r="A240" s="39" t="n"/>
      <c r="B240" s="40" t="n"/>
      <c r="C240" s="40" t="n"/>
      <c r="D240" s="40" t="n"/>
      <c r="E240" s="40" t="n"/>
      <c r="F240" s="41" t="n"/>
      <c r="G240" s="41" t="n"/>
      <c r="H240" s="41" t="n"/>
      <c r="I240" s="6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38" t="n"/>
      <c r="Z240" s="38" t="n"/>
      <c r="AA240" s="38" t="n"/>
      <c r="AB240" s="38" t="n"/>
      <c r="AC240" s="38" t="n"/>
      <c r="AD240" s="38" t="n"/>
      <c r="AE240" s="38" t="n"/>
      <c r="AF240" s="38" t="n"/>
      <c r="AG240" s="38" t="n"/>
      <c r="AH240" s="38" t="n"/>
      <c r="AI240" s="38" t="n"/>
      <c r="AJ240" s="38" t="n"/>
      <c r="AK240" s="38" t="n"/>
      <c r="AL240" s="38" t="n"/>
      <c r="AM240" s="38" t="n"/>
      <c r="AN240" s="38" t="n"/>
      <c r="AO240" s="25">
        <f>SUM(J240:AN240)</f>
        <v/>
      </c>
      <c r="AQ240" s="25" t="n"/>
      <c r="AR240" s="25" t="n"/>
      <c r="AS240" s="26" t="n"/>
      <c r="AT240" s="27">
        <f>IF(AS240&gt;0, AO240/AS240, "")</f>
        <v/>
      </c>
    </row>
    <row r="241" hidden="1" s="69">
      <c r="A241" s="39" t="n"/>
      <c r="B241" s="40" t="n"/>
      <c r="C241" s="40" t="n"/>
      <c r="D241" s="40" t="n"/>
      <c r="E241" s="40" t="n"/>
      <c r="F241" s="41" t="n"/>
      <c r="G241" s="41" t="n"/>
      <c r="H241" s="41" t="n"/>
      <c r="I241" s="6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  <c r="AA241" s="38" t="n"/>
      <c r="AB241" s="38" t="n"/>
      <c r="AC241" s="38" t="n"/>
      <c r="AD241" s="38" t="n"/>
      <c r="AE241" s="38" t="n"/>
      <c r="AF241" s="38" t="n"/>
      <c r="AG241" s="38" t="n"/>
      <c r="AH241" s="38" t="n"/>
      <c r="AI241" s="38" t="n"/>
      <c r="AJ241" s="38" t="n"/>
      <c r="AK241" s="38" t="n"/>
      <c r="AL241" s="38" t="n"/>
      <c r="AM241" s="38" t="n"/>
      <c r="AN241" s="38" t="n"/>
      <c r="AO241" s="25">
        <f>SUM(J241:AN241)</f>
        <v/>
      </c>
      <c r="AQ241" s="25" t="n"/>
      <c r="AR241" s="25" t="n"/>
      <c r="AS241" s="26" t="n"/>
      <c r="AT241" s="27">
        <f>IF(AS241&gt;0, AO241/AS241, "")</f>
        <v/>
      </c>
    </row>
    <row r="242" hidden="1" s="69">
      <c r="A242" s="39" t="n"/>
      <c r="B242" s="40" t="n"/>
      <c r="C242" s="40" t="n"/>
      <c r="D242" s="40" t="n"/>
      <c r="E242" s="40" t="n"/>
      <c r="F242" s="41" t="n"/>
      <c r="G242" s="41" t="n"/>
      <c r="H242" s="41" t="n"/>
      <c r="I242" s="6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  <c r="X242" s="38" t="n"/>
      <c r="Y242" s="38" t="n"/>
      <c r="Z242" s="38" t="n"/>
      <c r="AA242" s="38" t="n"/>
      <c r="AB242" s="38" t="n"/>
      <c r="AC242" s="38" t="n"/>
      <c r="AD242" s="38" t="n"/>
      <c r="AE242" s="38" t="n"/>
      <c r="AF242" s="38" t="n"/>
      <c r="AG242" s="38" t="n"/>
      <c r="AH242" s="38" t="n"/>
      <c r="AI242" s="38" t="n"/>
      <c r="AJ242" s="38" t="n"/>
      <c r="AK242" s="38" t="n"/>
      <c r="AL242" s="38" t="n"/>
      <c r="AM242" s="38" t="n"/>
      <c r="AN242" s="38" t="n"/>
      <c r="AO242" s="25">
        <f>SUM(J242:AN242)</f>
        <v/>
      </c>
      <c r="AQ242" s="25" t="n"/>
      <c r="AR242" s="25" t="n"/>
      <c r="AS242" s="26" t="n"/>
      <c r="AT242" s="27">
        <f>IF(AS242&gt;0, AO242/AS242, "")</f>
        <v/>
      </c>
    </row>
    <row r="243" hidden="1" s="69">
      <c r="A243" s="39" t="n"/>
      <c r="B243" s="40" t="n"/>
      <c r="C243" s="40" t="n"/>
      <c r="D243" s="40" t="n"/>
      <c r="E243" s="40" t="n"/>
      <c r="F243" s="41" t="n"/>
      <c r="G243" s="41" t="n"/>
      <c r="H243" s="41" t="n"/>
      <c r="I243" s="6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  <c r="X243" s="38" t="n"/>
      <c r="Y243" s="38" t="n"/>
      <c r="Z243" s="38" t="n"/>
      <c r="AA243" s="38" t="n"/>
      <c r="AB243" s="38" t="n"/>
      <c r="AC243" s="38" t="n"/>
      <c r="AD243" s="38" t="n"/>
      <c r="AE243" s="38" t="n"/>
      <c r="AF243" s="38" t="n"/>
      <c r="AG243" s="38" t="n"/>
      <c r="AH243" s="38" t="n"/>
      <c r="AI243" s="38" t="n"/>
      <c r="AJ243" s="38" t="n"/>
      <c r="AK243" s="38" t="n"/>
      <c r="AL243" s="38" t="n"/>
      <c r="AM243" s="38" t="n"/>
      <c r="AN243" s="38" t="n"/>
      <c r="AO243" s="25">
        <f>SUM(J243:AN243)</f>
        <v/>
      </c>
      <c r="AQ243" s="25" t="n"/>
      <c r="AR243" s="25" t="n"/>
      <c r="AS243" s="26" t="n"/>
      <c r="AT243" s="27">
        <f>IF(AS243&gt;0, AO243/AS243, "")</f>
        <v/>
      </c>
    </row>
    <row r="244" hidden="1" s="69">
      <c r="A244" s="39" t="n"/>
      <c r="B244" s="40" t="n"/>
      <c r="C244" s="40" t="n"/>
      <c r="D244" s="40" t="n"/>
      <c r="E244" s="40" t="n"/>
      <c r="F244" s="41" t="n"/>
      <c r="G244" s="41" t="n"/>
      <c r="H244" s="41" t="n"/>
      <c r="I244" s="6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  <c r="AA244" s="38" t="n"/>
      <c r="AB244" s="38" t="n"/>
      <c r="AC244" s="38" t="n"/>
      <c r="AD244" s="38" t="n"/>
      <c r="AE244" s="38" t="n"/>
      <c r="AF244" s="38" t="n"/>
      <c r="AG244" s="38" t="n"/>
      <c r="AH244" s="38" t="n"/>
      <c r="AI244" s="38" t="n"/>
      <c r="AJ244" s="38" t="n"/>
      <c r="AK244" s="38" t="n"/>
      <c r="AL244" s="38" t="n"/>
      <c r="AM244" s="38" t="n"/>
      <c r="AN244" s="38" t="n"/>
      <c r="AO244" s="25">
        <f>SUM(J244:AN244)</f>
        <v/>
      </c>
      <c r="AQ244" s="25" t="n"/>
      <c r="AR244" s="25" t="n"/>
      <c r="AS244" s="26" t="n"/>
      <c r="AT244" s="27">
        <f>IF(AS244&gt;0, AO244/AS244, "")</f>
        <v/>
      </c>
    </row>
    <row r="245" hidden="1" s="69">
      <c r="A245" s="39" t="n"/>
      <c r="B245" s="40" t="n"/>
      <c r="C245" s="40" t="n"/>
      <c r="D245" s="40" t="n"/>
      <c r="E245" s="40" t="n"/>
      <c r="F245" s="41" t="n"/>
      <c r="G245" s="41" t="n"/>
      <c r="H245" s="41" t="n"/>
      <c r="I245" s="6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  <c r="X245" s="38" t="n"/>
      <c r="Y245" s="38" t="n"/>
      <c r="Z245" s="38" t="n"/>
      <c r="AA245" s="38" t="n"/>
      <c r="AB245" s="38" t="n"/>
      <c r="AC245" s="38" t="n"/>
      <c r="AD245" s="38" t="n"/>
      <c r="AE245" s="38" t="n"/>
      <c r="AF245" s="38" t="n"/>
      <c r="AG245" s="38" t="n"/>
      <c r="AH245" s="38" t="n"/>
      <c r="AI245" s="38" t="n"/>
      <c r="AJ245" s="38" t="n"/>
      <c r="AK245" s="38" t="n"/>
      <c r="AL245" s="38" t="n"/>
      <c r="AM245" s="38" t="n"/>
      <c r="AN245" s="38" t="n"/>
      <c r="AO245" s="25">
        <f>SUM(J245:AN245)</f>
        <v/>
      </c>
      <c r="AQ245" s="25" t="n"/>
      <c r="AR245" s="25" t="n"/>
      <c r="AS245" s="26" t="n"/>
      <c r="AT245" s="27">
        <f>IF(AS245&gt;0, AO245/AS245, "")</f>
        <v/>
      </c>
    </row>
    <row r="246" hidden="1" s="69">
      <c r="A246" s="39" t="n"/>
      <c r="B246" s="40" t="n"/>
      <c r="C246" s="40" t="n"/>
      <c r="D246" s="40" t="n"/>
      <c r="E246" s="40" t="n"/>
      <c r="F246" s="41" t="n"/>
      <c r="G246" s="41" t="n"/>
      <c r="H246" s="41" t="n"/>
      <c r="I246" s="6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  <c r="X246" s="38" t="n"/>
      <c r="Y246" s="38" t="n"/>
      <c r="Z246" s="38" t="n"/>
      <c r="AA246" s="38" t="n"/>
      <c r="AB246" s="38" t="n"/>
      <c r="AC246" s="38" t="n"/>
      <c r="AD246" s="38" t="n"/>
      <c r="AE246" s="38" t="n"/>
      <c r="AF246" s="38" t="n"/>
      <c r="AG246" s="38" t="n"/>
      <c r="AH246" s="38" t="n"/>
      <c r="AI246" s="38" t="n"/>
      <c r="AJ246" s="38" t="n"/>
      <c r="AK246" s="38" t="n"/>
      <c r="AL246" s="38" t="n"/>
      <c r="AM246" s="38" t="n"/>
      <c r="AN246" s="38" t="n"/>
      <c r="AO246" s="25">
        <f>SUM(J246:AN246)</f>
        <v/>
      </c>
      <c r="AQ246" s="25" t="n"/>
      <c r="AR246" s="25" t="n"/>
      <c r="AS246" s="26" t="n"/>
      <c r="AT246" s="27">
        <f>IF(AS246&gt;0, AO246/AS246, "")</f>
        <v/>
      </c>
    </row>
    <row r="247" hidden="1" s="69">
      <c r="A247" s="39" t="n"/>
      <c r="B247" s="40" t="n"/>
      <c r="C247" s="40" t="n"/>
      <c r="D247" s="40" t="n"/>
      <c r="E247" s="40" t="n"/>
      <c r="F247" s="41" t="n"/>
      <c r="G247" s="41" t="n"/>
      <c r="H247" s="41" t="n"/>
      <c r="I247" s="6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  <c r="X247" s="38" t="n"/>
      <c r="Y247" s="38" t="n"/>
      <c r="Z247" s="38" t="n"/>
      <c r="AA247" s="38" t="n"/>
      <c r="AB247" s="38" t="n"/>
      <c r="AC247" s="38" t="n"/>
      <c r="AD247" s="38" t="n"/>
      <c r="AE247" s="38" t="n"/>
      <c r="AF247" s="38" t="n"/>
      <c r="AG247" s="38" t="n"/>
      <c r="AH247" s="38" t="n"/>
      <c r="AI247" s="38" t="n"/>
      <c r="AJ247" s="38" t="n"/>
      <c r="AK247" s="38" t="n"/>
      <c r="AL247" s="38" t="n"/>
      <c r="AM247" s="38" t="n"/>
      <c r="AN247" s="38" t="n"/>
      <c r="AO247" s="25">
        <f>SUM(J247:AN247)</f>
        <v/>
      </c>
      <c r="AQ247" s="25" t="n"/>
      <c r="AR247" s="25" t="n"/>
      <c r="AS247" s="26" t="n"/>
      <c r="AT247" s="27">
        <f>IF(AS247&gt;0, AO247/AS247, "")</f>
        <v/>
      </c>
    </row>
    <row r="248" hidden="1" s="69">
      <c r="A248" s="39" t="n"/>
      <c r="B248" s="40" t="n"/>
      <c r="C248" s="40" t="n"/>
      <c r="D248" s="40" t="n"/>
      <c r="E248" s="40" t="n"/>
      <c r="F248" s="41" t="n"/>
      <c r="G248" s="41" t="n"/>
      <c r="H248" s="41" t="n"/>
      <c r="I248" s="6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  <c r="X248" s="38" t="n"/>
      <c r="Y248" s="38" t="n"/>
      <c r="Z248" s="38" t="n"/>
      <c r="AA248" s="38" t="n"/>
      <c r="AB248" s="38" t="n"/>
      <c r="AC248" s="38" t="n"/>
      <c r="AD248" s="38" t="n"/>
      <c r="AE248" s="38" t="n"/>
      <c r="AF248" s="38" t="n"/>
      <c r="AG248" s="38" t="n"/>
      <c r="AH248" s="38" t="n"/>
      <c r="AI248" s="38" t="n"/>
      <c r="AJ248" s="38" t="n"/>
      <c r="AK248" s="38" t="n"/>
      <c r="AL248" s="38" t="n"/>
      <c r="AM248" s="38" t="n"/>
      <c r="AN248" s="38" t="n"/>
      <c r="AO248" s="25">
        <f>SUM(J248:AN248)</f>
        <v/>
      </c>
      <c r="AQ248" s="25" t="n"/>
      <c r="AR248" s="25" t="n"/>
      <c r="AS248" s="26" t="n"/>
      <c r="AT248" s="27">
        <f>IF(AS248&gt;0, AO248/AS248, "")</f>
        <v/>
      </c>
    </row>
    <row r="249" hidden="1" s="69">
      <c r="A249" s="39" t="n"/>
      <c r="B249" s="40" t="n"/>
      <c r="C249" s="40" t="n"/>
      <c r="D249" s="40" t="n"/>
      <c r="E249" s="40" t="n"/>
      <c r="F249" s="41" t="n"/>
      <c r="G249" s="41" t="n"/>
      <c r="H249" s="41" t="n"/>
      <c r="I249" s="6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  <c r="X249" s="38" t="n"/>
      <c r="Y249" s="38" t="n"/>
      <c r="Z249" s="38" t="n"/>
      <c r="AA249" s="38" t="n"/>
      <c r="AB249" s="38" t="n"/>
      <c r="AC249" s="38" t="n"/>
      <c r="AD249" s="38" t="n"/>
      <c r="AE249" s="38" t="n"/>
      <c r="AF249" s="38" t="n"/>
      <c r="AG249" s="38" t="n"/>
      <c r="AH249" s="38" t="n"/>
      <c r="AI249" s="38" t="n"/>
      <c r="AJ249" s="38" t="n"/>
      <c r="AK249" s="38" t="n"/>
      <c r="AL249" s="38" t="n"/>
      <c r="AM249" s="38" t="n"/>
      <c r="AN249" s="38" t="n"/>
      <c r="AO249" s="25">
        <f>SUM(J249:AN249)</f>
        <v/>
      </c>
      <c r="AQ249" s="25" t="n"/>
      <c r="AR249" s="25" t="n"/>
      <c r="AS249" s="26" t="n"/>
      <c r="AT249" s="27">
        <f>IF(AS249&gt;0, AO249/AS249, "")</f>
        <v/>
      </c>
    </row>
    <row r="250" hidden="1" s="69">
      <c r="A250" s="39" t="n"/>
      <c r="B250" s="40" t="n"/>
      <c r="C250" s="40" t="n"/>
      <c r="D250" s="40" t="n"/>
      <c r="E250" s="40" t="n"/>
      <c r="F250" s="41" t="n"/>
      <c r="G250" s="41" t="n"/>
      <c r="H250" s="41" t="n"/>
      <c r="I250" s="6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  <c r="X250" s="38" t="n"/>
      <c r="Y250" s="38" t="n"/>
      <c r="Z250" s="38" t="n"/>
      <c r="AA250" s="38" t="n"/>
      <c r="AB250" s="38" t="n"/>
      <c r="AC250" s="38" t="n"/>
      <c r="AD250" s="38" t="n"/>
      <c r="AE250" s="38" t="n"/>
      <c r="AF250" s="38" t="n"/>
      <c r="AG250" s="38" t="n"/>
      <c r="AH250" s="38" t="n"/>
      <c r="AI250" s="38" t="n"/>
      <c r="AJ250" s="38" t="n"/>
      <c r="AK250" s="38" t="n"/>
      <c r="AL250" s="38" t="n"/>
      <c r="AM250" s="38" t="n"/>
      <c r="AN250" s="38" t="n"/>
      <c r="AO250" s="25">
        <f>SUM(J250:AN250)</f>
        <v/>
      </c>
      <c r="AQ250" s="25" t="n"/>
      <c r="AR250" s="25" t="n"/>
      <c r="AS250" s="26" t="n"/>
      <c r="AT250" s="27">
        <f>IF(AS250&gt;0, AO250/AS250, "")</f>
        <v/>
      </c>
    </row>
    <row r="251" hidden="1" s="69">
      <c r="A251" s="39" t="n"/>
      <c r="B251" s="40" t="n"/>
      <c r="C251" s="40" t="n"/>
      <c r="D251" s="40" t="n"/>
      <c r="E251" s="40" t="n"/>
      <c r="F251" s="41" t="n"/>
      <c r="G251" s="41" t="n"/>
      <c r="H251" s="41" t="n"/>
      <c r="I251" s="6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38" t="n"/>
      <c r="Y251" s="38" t="n"/>
      <c r="Z251" s="38" t="n"/>
      <c r="AA251" s="38" t="n"/>
      <c r="AB251" s="38" t="n"/>
      <c r="AC251" s="38" t="n"/>
      <c r="AD251" s="38" t="n"/>
      <c r="AE251" s="38" t="n"/>
      <c r="AF251" s="38" t="n"/>
      <c r="AG251" s="38" t="n"/>
      <c r="AH251" s="38" t="n"/>
      <c r="AI251" s="38" t="n"/>
      <c r="AJ251" s="38" t="n"/>
      <c r="AK251" s="38" t="n"/>
      <c r="AL251" s="38" t="n"/>
      <c r="AM251" s="38" t="n"/>
      <c r="AN251" s="38" t="n"/>
      <c r="AO251" s="25">
        <f>SUM(J251:AN251)</f>
        <v/>
      </c>
      <c r="AQ251" s="25" t="n"/>
      <c r="AR251" s="25" t="n"/>
      <c r="AS251" s="26" t="n"/>
      <c r="AT251" s="27">
        <f>IF(AS251&gt;0, AO251/AS251, "")</f>
        <v/>
      </c>
    </row>
    <row r="252" hidden="1" s="69">
      <c r="A252" s="39" t="n"/>
      <c r="B252" s="40" t="n"/>
      <c r="C252" s="40" t="n"/>
      <c r="D252" s="40" t="n"/>
      <c r="E252" s="40" t="n"/>
      <c r="F252" s="41" t="n"/>
      <c r="G252" s="41" t="n"/>
      <c r="H252" s="41" t="n"/>
      <c r="I252" s="6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38" t="n"/>
      <c r="Z252" s="38" t="n"/>
      <c r="AA252" s="38" t="n"/>
      <c r="AB252" s="38" t="n"/>
      <c r="AC252" s="38" t="n"/>
      <c r="AD252" s="38" t="n"/>
      <c r="AE252" s="38" t="n"/>
      <c r="AF252" s="38" t="n"/>
      <c r="AG252" s="38" t="n"/>
      <c r="AH252" s="38" t="n"/>
      <c r="AI252" s="38" t="n"/>
      <c r="AJ252" s="38" t="n"/>
      <c r="AK252" s="38" t="n"/>
      <c r="AL252" s="38" t="n"/>
      <c r="AM252" s="38" t="n"/>
      <c r="AN252" s="38" t="n"/>
      <c r="AO252" s="25">
        <f>SUM(J252:AN252)</f>
        <v/>
      </c>
      <c r="AQ252" s="25" t="n"/>
      <c r="AR252" s="25" t="n"/>
      <c r="AS252" s="26" t="n"/>
      <c r="AT252" s="27">
        <f>IF(AS252&gt;0, AO252/AS252, "")</f>
        <v/>
      </c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  <c r="AA253" s="38" t="n"/>
      <c r="AB253" s="38" t="n"/>
      <c r="AC253" s="38" t="n"/>
      <c r="AD253" s="38" t="n"/>
      <c r="AE253" s="38" t="n"/>
      <c r="AF253" s="38" t="n"/>
      <c r="AG253" s="38" t="n"/>
      <c r="AH253" s="38" t="n"/>
      <c r="AI253" s="38" t="n"/>
      <c r="AJ253" s="38" t="n"/>
      <c r="AK253" s="38" t="n"/>
      <c r="AL253" s="38" t="n"/>
      <c r="AM253" s="38" t="n"/>
      <c r="AN253" s="38" t="n"/>
      <c r="AO253" s="38" t="n"/>
      <c r="AQ253" s="38" t="n"/>
      <c r="AR253" s="38" t="n"/>
      <c r="AS253" s="38" t="n"/>
      <c r="AT253" s="38" t="n"/>
    </row>
    <row r="254">
      <c r="A254" s="55" t="inlineStr">
        <is>
          <t>🎇</t>
        </is>
      </c>
      <c r="B254" s="55" t="inlineStr">
        <is>
          <t>DECEMBER</t>
        </is>
      </c>
      <c r="I254" s="71">
        <f>DATE($D$1,12,1)</f>
        <v/>
      </c>
      <c r="J254" s="16">
        <f>I254</f>
        <v/>
      </c>
      <c r="K254" s="16">
        <f>J254+1</f>
        <v/>
      </c>
      <c r="L254" s="16">
        <f>K254+1</f>
        <v/>
      </c>
      <c r="M254" s="16">
        <f>L254+1</f>
        <v/>
      </c>
      <c r="N254" s="16">
        <f>M254+1</f>
        <v/>
      </c>
      <c r="O254" s="16">
        <f>N254+1</f>
        <v/>
      </c>
      <c r="P254" s="16">
        <f>O254+1</f>
        <v/>
      </c>
      <c r="Q254" s="16">
        <f>P254+1</f>
        <v/>
      </c>
      <c r="R254" s="16">
        <f>Q254+1</f>
        <v/>
      </c>
      <c r="S254" s="16">
        <f>R254+1</f>
        <v/>
      </c>
      <c r="T254" s="16">
        <f>S254+1</f>
        <v/>
      </c>
      <c r="U254" s="16">
        <f>T254+1</f>
        <v/>
      </c>
      <c r="V254" s="16">
        <f>U254+1</f>
        <v/>
      </c>
      <c r="W254" s="16">
        <f>V254+1</f>
        <v/>
      </c>
      <c r="X254" s="16">
        <f>W254+1</f>
        <v/>
      </c>
      <c r="Y254" s="16">
        <f>X254+1</f>
        <v/>
      </c>
      <c r="Z254" s="16">
        <f>Y254+1</f>
        <v/>
      </c>
      <c r="AA254" s="16">
        <f>Z254+1</f>
        <v/>
      </c>
      <c r="AB254" s="16">
        <f>AA254+1</f>
        <v/>
      </c>
      <c r="AC254" s="16">
        <f>AB254+1</f>
        <v/>
      </c>
      <c r="AD254" s="16">
        <f>AC254+1</f>
        <v/>
      </c>
      <c r="AE254" s="16">
        <f>AD254+1</f>
        <v/>
      </c>
      <c r="AF254" s="16">
        <f>AE254+1</f>
        <v/>
      </c>
      <c r="AG254" s="16">
        <f>AF254+1</f>
        <v/>
      </c>
      <c r="AH254" s="16">
        <f>AG254+1</f>
        <v/>
      </c>
      <c r="AI254" s="16">
        <f>AH254+1</f>
        <v/>
      </c>
      <c r="AJ254" s="16">
        <f>AI254+1</f>
        <v/>
      </c>
      <c r="AK254" s="16">
        <f>AJ254+1</f>
        <v/>
      </c>
      <c r="AL254" s="16">
        <f>AK254+1</f>
        <v/>
      </c>
      <c r="AM254" s="16">
        <f>AL254+1</f>
        <v/>
      </c>
      <c r="AN254" s="16">
        <f>AM254+1</f>
        <v/>
      </c>
      <c r="AO254" s="17" t="inlineStr">
        <is>
          <t>TOTAL</t>
        </is>
      </c>
      <c r="AQ254" s="18" t="inlineStr">
        <is>
          <t>current streak 🔥</t>
        </is>
      </c>
      <c r="AR254" s="18" t="inlineStr">
        <is>
          <t>longest streak😼</t>
        </is>
      </c>
      <c r="AS254" s="18" t="inlineStr">
        <is>
          <t>Goal🔢</t>
        </is>
      </c>
      <c r="AT254" s="18" t="inlineStr">
        <is>
          <t>Progress
📈</t>
        </is>
      </c>
    </row>
    <row r="255" ht="15" customHeight="1" s="69">
      <c r="A255" s="34" t="n"/>
      <c r="B255" s="34" t="n"/>
      <c r="I255" s="35" t="n"/>
      <c r="J255" s="36">
        <f>J254</f>
        <v/>
      </c>
      <c r="K255" s="36">
        <f>K254</f>
        <v/>
      </c>
      <c r="L255" s="36">
        <f>L254</f>
        <v/>
      </c>
      <c r="M255" s="36">
        <f>M254</f>
        <v/>
      </c>
      <c r="N255" s="36">
        <f>N254</f>
        <v/>
      </c>
      <c r="O255" s="36">
        <f>O254</f>
        <v/>
      </c>
      <c r="P255" s="36">
        <f>P254</f>
        <v/>
      </c>
      <c r="Q255" s="36">
        <f>Q254</f>
        <v/>
      </c>
      <c r="R255" s="36">
        <f>R254</f>
        <v/>
      </c>
      <c r="S255" s="36">
        <f>S254</f>
        <v/>
      </c>
      <c r="T255" s="36">
        <f>T254</f>
        <v/>
      </c>
      <c r="U255" s="36">
        <f>U254</f>
        <v/>
      </c>
      <c r="V255" s="36">
        <f>V254</f>
        <v/>
      </c>
      <c r="W255" s="36">
        <f>W254</f>
        <v/>
      </c>
      <c r="X255" s="36">
        <f>X254</f>
        <v/>
      </c>
      <c r="Y255" s="36">
        <f>Y254</f>
        <v/>
      </c>
      <c r="Z255" s="36">
        <f>Z254</f>
        <v/>
      </c>
      <c r="AA255" s="36">
        <f>AA254</f>
        <v/>
      </c>
      <c r="AB255" s="36">
        <f>AB254</f>
        <v/>
      </c>
      <c r="AC255" s="36">
        <f>AC254</f>
        <v/>
      </c>
      <c r="AD255" s="36">
        <f>AD254</f>
        <v/>
      </c>
      <c r="AE255" s="36">
        <f>AE254</f>
        <v/>
      </c>
      <c r="AF255" s="36">
        <f>AF254</f>
        <v/>
      </c>
      <c r="AG255" s="36">
        <f>AG254</f>
        <v/>
      </c>
      <c r="AH255" s="36">
        <f>AH254</f>
        <v/>
      </c>
      <c r="AI255" s="36">
        <f>AI254</f>
        <v/>
      </c>
      <c r="AJ255" s="36">
        <f>AJ254</f>
        <v/>
      </c>
      <c r="AK255" s="36">
        <f>AK254</f>
        <v/>
      </c>
      <c r="AL255" s="36">
        <f>AL254</f>
        <v/>
      </c>
      <c r="AM255" s="36">
        <f>AM254</f>
        <v/>
      </c>
      <c r="AN255" s="36">
        <f>AN254</f>
        <v/>
      </c>
    </row>
    <row r="256">
      <c r="A256" s="57" t="n"/>
      <c r="B256" s="52" t="inlineStr">
        <is>
          <t>Пн</t>
        </is>
      </c>
      <c r="C256" s="52" t="inlineStr">
        <is>
          <t>Вт</t>
        </is>
      </c>
      <c r="D256" s="52" t="inlineStr">
        <is>
          <t>Ср</t>
        </is>
      </c>
      <c r="E256" s="52" t="inlineStr">
        <is>
          <t>Чт</t>
        </is>
      </c>
      <c r="F256" s="52" t="inlineStr">
        <is>
          <t>Пт</t>
        </is>
      </c>
      <c r="G256" s="52" t="inlineStr">
        <is>
          <t>Сб</t>
        </is>
      </c>
      <c r="H256" s="52" t="inlineStr">
        <is>
          <t>Вс</t>
        </is>
      </c>
      <c r="I256" s="6">
        <f>ARRAYFORMULA(Setup!B3:B22)</f>
        <v/>
      </c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  <c r="X256" s="38" t="n"/>
      <c r="Y256" s="38" t="n"/>
      <c r="Z256" s="38" t="n"/>
      <c r="AA256" s="38" t="n"/>
      <c r="AB256" s="38" t="n"/>
      <c r="AC256" s="38" t="n"/>
      <c r="AD256" s="38" t="n"/>
      <c r="AE256" s="38" t="n"/>
      <c r="AF256" s="38" t="n"/>
      <c r="AG256" s="38" t="n"/>
      <c r="AH256" s="38" t="n"/>
      <c r="AI256" s="38" t="n"/>
      <c r="AJ256" s="38" t="n"/>
      <c r="AK256" s="38" t="n"/>
      <c r="AL256" s="38" t="n"/>
      <c r="AM256" s="38" t="n"/>
      <c r="AN256" s="38" t="n"/>
      <c r="AO256" s="25">
        <f>SUM(J256:AN256)</f>
        <v/>
      </c>
      <c r="AQ256" s="25" t="n"/>
      <c r="AR256" s="25" t="n"/>
      <c r="AS256" s="26" t="n"/>
      <c r="AT256" s="27">
        <f>IF(AS256&gt;0, AO256/AS256, "")</f>
        <v/>
      </c>
    </row>
    <row r="257">
      <c r="A257" s="28">
        <f>WEEKNUM(B257,2)</f>
        <v/>
      </c>
      <c r="B257" s="29">
        <f>IFERROR(DATE($D$1, MONTH(I254), 1) - WEEKDAY(DATE($D$1, MONTH(I254), 1), 2) + 1 + 0*7 + 0, "")</f>
        <v/>
      </c>
      <c r="C257" s="30">
        <f>IFERROR(DATE($D$1, MONTH(I254), 1) - WEEKDAY(DATE($D$1, MONTH(I254), 1), 2) + 1 + 0*7 + 1, "")</f>
        <v/>
      </c>
      <c r="D257" s="30">
        <f>IFERROR(DATE($D$1, MONTH(I254), 1) - WEEKDAY(DATE($D$1, MONTH(I254), 1), 2) + 1 + 0*7 + 2, "")</f>
        <v/>
      </c>
      <c r="E257" s="30">
        <f>IFERROR(DATE($D$1, MONTH(I254), 1) - WEEKDAY(DATE($D$1, MONTH(I254), 1), 2) + 1 + 0*7 + 3, "")</f>
        <v/>
      </c>
      <c r="F257" s="30">
        <f>IFERROR(DATE($D$1, MONTH(I254), 1) - WEEKDAY(DATE($D$1, MONTH(I254), 1), 2) + 1 + 0*7 + 4, "")</f>
        <v/>
      </c>
      <c r="G257" s="30">
        <f>IFERROR(DATE($D$1, MONTH(I254), 1) - WEEKDAY(DATE($D$1, MONTH(I254), 1), 2) + 1 + 0*7 + 5, "")</f>
        <v/>
      </c>
      <c r="H257" s="30">
        <f>IFERROR(DATE($D$1, MONTH(I254), 1) - WEEKDAY(DATE($D$1, MONTH(I254), 1), 2) + 1 + 0*7 + 6, "")</f>
        <v/>
      </c>
      <c r="I257" s="6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  <c r="X257" s="38" t="n"/>
      <c r="Y257" s="38" t="n"/>
      <c r="Z257" s="38" t="n"/>
      <c r="AA257" s="38" t="n"/>
      <c r="AB257" s="38" t="n"/>
      <c r="AC257" s="38" t="n"/>
      <c r="AD257" s="38" t="n"/>
      <c r="AE257" s="38" t="n"/>
      <c r="AF257" s="38" t="n"/>
      <c r="AG257" s="38" t="n"/>
      <c r="AH257" s="38" t="n"/>
      <c r="AI257" s="38" t="n"/>
      <c r="AJ257" s="38" t="n"/>
      <c r="AK257" s="38" t="n"/>
      <c r="AL257" s="38" t="n"/>
      <c r="AM257" s="38" t="n"/>
      <c r="AN257" s="38" t="n"/>
      <c r="AO257" s="25">
        <f>SUM(J257:AN257)</f>
        <v/>
      </c>
      <c r="AQ257" s="25" t="n"/>
      <c r="AR257" s="25" t="n"/>
      <c r="AS257" s="26" t="n"/>
      <c r="AT257" s="27">
        <f>IF(AS257&gt;0, AO257/AS257, "")</f>
        <v/>
      </c>
    </row>
    <row r="258">
      <c r="A258" s="31">
        <f>WEEKNUM(B258,2)</f>
        <v/>
      </c>
      <c r="B258" s="30">
        <f>IFERROR(DATE($D$1, MONTH(I254), 1) - WEEKDAY(DATE($D$1, MONTH(I254), 1), 2) + 1 + 1*7 + 0, "")</f>
        <v/>
      </c>
      <c r="C258" s="30">
        <f>IFERROR(DATE($D$1, MONTH(I254), 1) - WEEKDAY(DATE($D$1, MONTH(I254), 1), 2) + 1 + 1*7 + 1, "")</f>
        <v/>
      </c>
      <c r="D258" s="30">
        <f>IFERROR(DATE($D$1, MONTH(I254), 1) - WEEKDAY(DATE($D$1, MONTH(I254), 1), 2) + 1 + 1*7 + 2, "")</f>
        <v/>
      </c>
      <c r="E258" s="30">
        <f>IFERROR(DATE($D$1, MONTH(I254), 1) - WEEKDAY(DATE($D$1, MONTH(I254), 1), 2) + 1 + 1*7 + 3, "")</f>
        <v/>
      </c>
      <c r="F258" s="30">
        <f>IFERROR(DATE($D$1, MONTH(I254), 1) - WEEKDAY(DATE($D$1, MONTH(I254), 1), 2) + 1 + 1*7 + 4, "")</f>
        <v/>
      </c>
      <c r="G258" s="30">
        <f>IFERROR(DATE($D$1, MONTH(I254), 1) - WEEKDAY(DATE($D$1, MONTH(I254), 1), 2) + 1 + 1*7 + 5, "")</f>
        <v/>
      </c>
      <c r="H258" s="30">
        <f>IFERROR(DATE($D$1, MONTH(I254), 1) - WEEKDAY(DATE($D$1, MONTH(I254), 1), 2) + 1 + 1*7 + 6, "")</f>
        <v/>
      </c>
      <c r="I258" s="6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  <c r="X258" s="38" t="n"/>
      <c r="Y258" s="38" t="n"/>
      <c r="Z258" s="38" t="n"/>
      <c r="AA258" s="38" t="n"/>
      <c r="AB258" s="38" t="n"/>
      <c r="AC258" s="38" t="n"/>
      <c r="AD258" s="38" t="n"/>
      <c r="AE258" s="38" t="n"/>
      <c r="AF258" s="38" t="n"/>
      <c r="AG258" s="38" t="n"/>
      <c r="AH258" s="38" t="n"/>
      <c r="AI258" s="38" t="n"/>
      <c r="AJ258" s="38" t="n"/>
      <c r="AK258" s="38" t="n"/>
      <c r="AL258" s="38" t="n"/>
      <c r="AM258" s="38" t="n"/>
      <c r="AN258" s="38" t="n"/>
      <c r="AO258" s="25">
        <f>SUM(J258:AN258)</f>
        <v/>
      </c>
      <c r="AQ258" s="25" t="n"/>
      <c r="AR258" s="25" t="n"/>
      <c r="AS258" s="26" t="n"/>
      <c r="AT258" s="27">
        <f>IF(AS258&gt;0, AO258/AS258, "")</f>
        <v/>
      </c>
    </row>
    <row r="259">
      <c r="A259" s="31">
        <f>WEEKNUM(B259,2)</f>
        <v/>
      </c>
      <c r="B259" s="30">
        <f>IFERROR(DATE($D$1, MONTH(I254), 1) - WEEKDAY(DATE($D$1, MONTH(I254), 1), 2) + 1 + 2*7 + 0, "")</f>
        <v/>
      </c>
      <c r="C259" s="30">
        <f>IFERROR(DATE($D$1, MONTH(I254), 1) - WEEKDAY(DATE($D$1, MONTH(I254), 1), 2) + 1 + 2*7 + 1, "")</f>
        <v/>
      </c>
      <c r="D259" s="30">
        <f>IFERROR(DATE($D$1, MONTH(I254), 1) - WEEKDAY(DATE($D$1, MONTH(I254), 1), 2) + 1 + 2*7 + 2, "")</f>
        <v/>
      </c>
      <c r="E259" s="30">
        <f>IFERROR(DATE($D$1, MONTH(I254), 1) - WEEKDAY(DATE($D$1, MONTH(I254), 1), 2) + 1 + 2*7 + 3, "")</f>
        <v/>
      </c>
      <c r="F259" s="30">
        <f>IFERROR(DATE($D$1, MONTH(I254), 1) - WEEKDAY(DATE($D$1, MONTH(I254), 1), 2) + 1 + 2*7 + 4, "")</f>
        <v/>
      </c>
      <c r="G259" s="30">
        <f>IFERROR(DATE($D$1, MONTH(I254), 1) - WEEKDAY(DATE($D$1, MONTH(I254), 1), 2) + 1 + 2*7 + 5, "")</f>
        <v/>
      </c>
      <c r="H259" s="30">
        <f>IFERROR(DATE($D$1, MONTH(I254), 1) - WEEKDAY(DATE($D$1, MONTH(I254), 1), 2) + 1 + 2*7 + 6, "")</f>
        <v/>
      </c>
      <c r="I259" s="6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  <c r="X259" s="38" t="n"/>
      <c r="Y259" s="38" t="n"/>
      <c r="Z259" s="38" t="n"/>
      <c r="AA259" s="38" t="n"/>
      <c r="AB259" s="38" t="n"/>
      <c r="AC259" s="38" t="n"/>
      <c r="AD259" s="38" t="n"/>
      <c r="AE259" s="38" t="n"/>
      <c r="AF259" s="38" t="n"/>
      <c r="AG259" s="38" t="n"/>
      <c r="AH259" s="38" t="n"/>
      <c r="AI259" s="38" t="n"/>
      <c r="AJ259" s="38" t="n"/>
      <c r="AK259" s="38" t="n"/>
      <c r="AL259" s="38" t="n"/>
      <c r="AM259" s="38" t="n"/>
      <c r="AN259" s="38" t="n"/>
      <c r="AO259" s="25">
        <f>SUM(J259:AN259)</f>
        <v/>
      </c>
      <c r="AQ259" s="25" t="n"/>
      <c r="AR259" s="25" t="n"/>
      <c r="AS259" s="26" t="n"/>
      <c r="AT259" s="27">
        <f>IF(AS259&gt;0, AO259/AS259, "")</f>
        <v/>
      </c>
    </row>
    <row r="260">
      <c r="A260" s="31">
        <f>WEEKNUM(B260,2)</f>
        <v/>
      </c>
      <c r="B260" s="30">
        <f>IFERROR(DATE($D$1, MONTH(I254), 1) - WEEKDAY(DATE($D$1, MONTH(I254), 1), 2) + 1 + 3*7 + 0, "")</f>
        <v/>
      </c>
      <c r="C260" s="30">
        <f>IFERROR(DATE($D$1, MONTH(I254), 1) - WEEKDAY(DATE($D$1, MONTH(I254), 1), 2) + 1 + 3*7 + 1, "")</f>
        <v/>
      </c>
      <c r="D260" s="30">
        <f>IFERROR(DATE($D$1, MONTH(I254), 1) - WEEKDAY(DATE($D$1, MONTH(I254), 1), 2) + 1 + 3*7 + 2, "")</f>
        <v/>
      </c>
      <c r="E260" s="30">
        <f>IFERROR(DATE($D$1, MONTH(I254), 1) - WEEKDAY(DATE($D$1, MONTH(I254), 1), 2) + 1 + 3*7 + 3, "")</f>
        <v/>
      </c>
      <c r="F260" s="30">
        <f>IFERROR(DATE($D$1, MONTH(I254), 1) - WEEKDAY(DATE($D$1, MONTH(I254), 1), 2) + 1 + 3*7 + 4, "")</f>
        <v/>
      </c>
      <c r="G260" s="30">
        <f>IFERROR(DATE($D$1, MONTH(I254), 1) - WEEKDAY(DATE($D$1, MONTH(I254), 1), 2) + 1 + 3*7 + 5, "")</f>
        <v/>
      </c>
      <c r="H260" s="30">
        <f>IFERROR(DATE($D$1, MONTH(I254), 1) - WEEKDAY(DATE($D$1, MONTH(I254), 1), 2) + 1 + 3*7 + 6, "")</f>
        <v/>
      </c>
      <c r="I260" s="6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  <c r="X260" s="38" t="n"/>
      <c r="Y260" s="38" t="n"/>
      <c r="Z260" s="38" t="n"/>
      <c r="AA260" s="38" t="n"/>
      <c r="AB260" s="38" t="n"/>
      <c r="AC260" s="38" t="n"/>
      <c r="AD260" s="38" t="n"/>
      <c r="AE260" s="38" t="n"/>
      <c r="AF260" s="38" t="n"/>
      <c r="AG260" s="38" t="n"/>
      <c r="AH260" s="38" t="n"/>
      <c r="AI260" s="38" t="n"/>
      <c r="AJ260" s="38" t="n"/>
      <c r="AK260" s="38" t="n"/>
      <c r="AL260" s="38" t="n"/>
      <c r="AM260" s="38" t="n"/>
      <c r="AN260" s="38" t="n"/>
      <c r="AO260" s="25">
        <f>SUM(J260:AN260)</f>
        <v/>
      </c>
      <c r="AQ260" s="25" t="n"/>
      <c r="AR260" s="25" t="n"/>
      <c r="AS260" s="26" t="n"/>
      <c r="AT260" s="27">
        <f>IF(AS260&gt;0, AO260/AS260, "")</f>
        <v/>
      </c>
    </row>
    <row r="261">
      <c r="A261" s="31">
        <f>WEEKNUM(B261,2)</f>
        <v/>
      </c>
      <c r="B261" s="30">
        <f>IFERROR(DATE($D$1, MONTH(I254), 1) - WEEKDAY(DATE($D$1, MONTH(I254), 1), 2) + 1 + 4*7 + 0, "")</f>
        <v/>
      </c>
      <c r="C261" s="30">
        <f>IFERROR(DATE($D$1, MONTH(I254), 1) - WEEKDAY(DATE($D$1, MONTH(I254), 1), 2) + 1 + 4*7 + 1, "")</f>
        <v/>
      </c>
      <c r="D261" s="30">
        <f>IFERROR(DATE($D$1, MONTH(I254), 1) - WEEKDAY(DATE($D$1, MONTH(I254), 1), 2) + 1 + 4*7 + 2, "")</f>
        <v/>
      </c>
      <c r="E261" s="30">
        <f>IFERROR(DATE($D$1, MONTH(I254), 1) - WEEKDAY(DATE($D$1, MONTH(I254), 1), 2) + 1 + 4*7 + 3, "")</f>
        <v/>
      </c>
      <c r="F261" s="30">
        <f>IFERROR(DATE($D$1, MONTH(I254), 1) - WEEKDAY(DATE($D$1, MONTH(I254), 1), 2) + 1 + 4*7 + 4, "")</f>
        <v/>
      </c>
      <c r="G261" s="30">
        <f>IFERROR(DATE($D$1, MONTH(I254), 1) - WEEKDAY(DATE($D$1, MONTH(I254), 1), 2) + 1 + 4*7 + 5, "")</f>
        <v/>
      </c>
      <c r="H261" s="30">
        <f>IFERROR(DATE($D$1, MONTH(I254), 1) - WEEKDAY(DATE($D$1, MONTH(I254), 1), 2) + 1 + 4*7 + 6, "")</f>
        <v/>
      </c>
      <c r="I261" s="6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  <c r="X261" s="38" t="n"/>
      <c r="Y261" s="38" t="n"/>
      <c r="Z261" s="38" t="n"/>
      <c r="AA261" s="38" t="n"/>
      <c r="AB261" s="38" t="n"/>
      <c r="AC261" s="38" t="n"/>
      <c r="AD261" s="38" t="n"/>
      <c r="AE261" s="38" t="n"/>
      <c r="AF261" s="38" t="n"/>
      <c r="AG261" s="38" t="n"/>
      <c r="AH261" s="38" t="n"/>
      <c r="AI261" s="38" t="n"/>
      <c r="AJ261" s="38" t="n"/>
      <c r="AK261" s="38" t="n"/>
      <c r="AL261" s="38" t="n"/>
      <c r="AM261" s="38" t="n"/>
      <c r="AN261" s="38" t="n"/>
      <c r="AO261" s="25">
        <f>SUM(J261:AN261)</f>
        <v/>
      </c>
      <c r="AQ261" s="25" t="n"/>
      <c r="AR261" s="25" t="n"/>
      <c r="AS261" s="26" t="n"/>
      <c r="AT261" s="27">
        <f>IF(AS261&gt;0, AO261/AS261, "")</f>
        <v/>
      </c>
    </row>
    <row r="262">
      <c r="A262" s="31">
        <f>WEEKNUM(B262,2)</f>
        <v/>
      </c>
      <c r="B262" s="30">
        <f>IFERROR(DATE($D$1, MONTH(I254), 1) - WEEKDAY(DATE($D$1, MONTH(I254), 1), 2) + 1 + 5*7 + 0, "")</f>
        <v/>
      </c>
      <c r="C262" s="30">
        <f>IFERROR(DATE($D$1, MONTH(I254), 1) - WEEKDAY(DATE($D$1, MONTH(I254), 1), 2) + 1 + 5*7 + 1, "")</f>
        <v/>
      </c>
      <c r="D262" s="30">
        <f>IFERROR(DATE($D$1, MONTH(I254), 1) - WEEKDAY(DATE($D$1, MONTH(I254), 1), 2) + 1 + 5*7 + 2, "")</f>
        <v/>
      </c>
      <c r="E262" s="30">
        <f>IFERROR(DATE($D$1, MONTH(I254), 1) - WEEKDAY(DATE($D$1, MONTH(I254), 1), 2) + 1 + 5*7 + 3, "")</f>
        <v/>
      </c>
      <c r="F262" s="30">
        <f>IFERROR(DATE($D$1, MONTH(I254), 1) - WEEKDAY(DATE($D$1, MONTH(I254), 1), 2) + 1 + 5*7 + 4, "")</f>
        <v/>
      </c>
      <c r="G262" s="30">
        <f>IFERROR(DATE($D$1, MONTH(I254), 1) - WEEKDAY(DATE($D$1, MONTH(I254), 1), 2) + 1 + 5*7 + 5, "")</f>
        <v/>
      </c>
      <c r="H262" s="30">
        <f>IFERROR(DATE($D$1, MONTH(I254), 1) - WEEKDAY(DATE($D$1, MONTH(I254), 1), 2) + 1 + 5*7 + 6, "")</f>
        <v/>
      </c>
      <c r="I262" s="6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  <c r="X262" s="38" t="n"/>
      <c r="Y262" s="38" t="n"/>
      <c r="Z262" s="38" t="n"/>
      <c r="AA262" s="38" t="n"/>
      <c r="AB262" s="38" t="n"/>
      <c r="AC262" s="38" t="n"/>
      <c r="AD262" s="38" t="n"/>
      <c r="AE262" s="38" t="n"/>
      <c r="AF262" s="38" t="n"/>
      <c r="AG262" s="38" t="n"/>
      <c r="AH262" s="38" t="n"/>
      <c r="AI262" s="38" t="n"/>
      <c r="AJ262" s="38" t="n"/>
      <c r="AK262" s="38" t="n"/>
      <c r="AL262" s="38" t="n"/>
      <c r="AM262" s="38" t="n"/>
      <c r="AN262" s="38" t="n"/>
      <c r="AO262" s="25">
        <f>SUM(J262:AN262)</f>
        <v/>
      </c>
      <c r="AQ262" s="25" t="n"/>
      <c r="AR262" s="25" t="n"/>
      <c r="AS262" s="26" t="n"/>
      <c r="AT262" s="27">
        <f>IF(AS262&gt;0, AO262/AS262, "")</f>
        <v/>
      </c>
    </row>
    <row r="263" hidden="1" s="69">
      <c r="A263" s="39" t="n"/>
      <c r="B263" s="40" t="n"/>
      <c r="C263" s="40" t="n"/>
      <c r="D263" s="40" t="n"/>
      <c r="E263" s="40" t="n"/>
      <c r="F263" s="40" t="n"/>
      <c r="G263" s="40" t="n"/>
      <c r="H263" s="40" t="n"/>
      <c r="I263" s="6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  <c r="X263" s="38" t="n"/>
      <c r="Y263" s="38" t="n"/>
      <c r="Z263" s="38" t="n"/>
      <c r="AA263" s="38" t="n"/>
      <c r="AB263" s="38" t="n"/>
      <c r="AC263" s="38" t="n"/>
      <c r="AD263" s="38" t="n"/>
      <c r="AE263" s="38" t="n"/>
      <c r="AF263" s="38" t="n"/>
      <c r="AG263" s="38" t="n"/>
      <c r="AH263" s="38" t="n"/>
      <c r="AI263" s="38" t="n"/>
      <c r="AJ263" s="38" t="n"/>
      <c r="AK263" s="38" t="n"/>
      <c r="AL263" s="38" t="n"/>
      <c r="AM263" s="38" t="n"/>
      <c r="AN263" s="38" t="n"/>
      <c r="AO263" s="25">
        <f>SUM(J263:AN263)</f>
        <v/>
      </c>
      <c r="AQ263" s="25" t="n"/>
      <c r="AR263" s="25" t="n"/>
      <c r="AS263" s="26" t="n"/>
      <c r="AT263" s="27">
        <f>IF(AS263&gt;0, AO263/AS263, "")</f>
        <v/>
      </c>
    </row>
    <row r="264" hidden="1" s="69">
      <c r="A264" s="39" t="n"/>
      <c r="B264" s="40" t="n"/>
      <c r="C264" s="40" t="n"/>
      <c r="D264" s="40" t="n"/>
      <c r="E264" s="40" t="n"/>
      <c r="F264" s="40" t="n"/>
      <c r="G264" s="40" t="n"/>
      <c r="H264" s="40" t="n"/>
      <c r="I264" s="6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38" t="n"/>
      <c r="Y264" s="38" t="n"/>
      <c r="Z264" s="38" t="n"/>
      <c r="AA264" s="38" t="n"/>
      <c r="AB264" s="38" t="n"/>
      <c r="AC264" s="38" t="n"/>
      <c r="AD264" s="38" t="n"/>
      <c r="AE264" s="38" t="n"/>
      <c r="AF264" s="38" t="n"/>
      <c r="AG264" s="38" t="n"/>
      <c r="AH264" s="38" t="n"/>
      <c r="AI264" s="38" t="n"/>
      <c r="AJ264" s="38" t="n"/>
      <c r="AK264" s="38" t="n"/>
      <c r="AL264" s="38" t="n"/>
      <c r="AM264" s="38" t="n"/>
      <c r="AN264" s="38" t="n"/>
      <c r="AO264" s="25">
        <f>SUM(J264:AN264)</f>
        <v/>
      </c>
      <c r="AQ264" s="25" t="n"/>
      <c r="AR264" s="25" t="n"/>
      <c r="AS264" s="26" t="n"/>
      <c r="AT264" s="27">
        <f>IF(AS264&gt;0, AO264/AS264, "")</f>
        <v/>
      </c>
    </row>
    <row r="265" hidden="1" s="69">
      <c r="A265" s="39" t="n"/>
      <c r="B265" s="40" t="n"/>
      <c r="C265" s="40" t="n"/>
      <c r="D265" s="40" t="n"/>
      <c r="E265" s="40" t="n"/>
      <c r="F265" s="40" t="n"/>
      <c r="G265" s="40" t="n"/>
      <c r="H265" s="40" t="n"/>
      <c r="I265" s="6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38" t="n"/>
      <c r="Z265" s="38" t="n"/>
      <c r="AA265" s="38" t="n"/>
      <c r="AB265" s="38" t="n"/>
      <c r="AC265" s="38" t="n"/>
      <c r="AD265" s="38" t="n"/>
      <c r="AE265" s="38" t="n"/>
      <c r="AF265" s="38" t="n"/>
      <c r="AG265" s="38" t="n"/>
      <c r="AH265" s="38" t="n"/>
      <c r="AI265" s="38" t="n"/>
      <c r="AJ265" s="38" t="n"/>
      <c r="AK265" s="38" t="n"/>
      <c r="AL265" s="38" t="n"/>
      <c r="AM265" s="38" t="n"/>
      <c r="AN265" s="38" t="n"/>
      <c r="AO265" s="25">
        <f>SUM(J265:AN265)</f>
        <v/>
      </c>
      <c r="AQ265" s="25" t="n"/>
      <c r="AR265" s="25" t="n"/>
      <c r="AS265" s="26" t="n"/>
      <c r="AT265" s="27">
        <f>IF(AS265&gt;0, AO265/AS265, "")</f>
        <v/>
      </c>
    </row>
    <row r="266" hidden="1" s="69">
      <c r="A266" s="39" t="n"/>
      <c r="B266" s="40" t="n"/>
      <c r="C266" s="40" t="n"/>
      <c r="D266" s="40" t="n"/>
      <c r="E266" s="40" t="n"/>
      <c r="F266" s="40" t="n"/>
      <c r="G266" s="40" t="n"/>
      <c r="H266" s="40" t="n"/>
      <c r="I266" s="6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38" t="n"/>
      <c r="Z266" s="38" t="n"/>
      <c r="AA266" s="38" t="n"/>
      <c r="AB266" s="38" t="n"/>
      <c r="AC266" s="38" t="n"/>
      <c r="AD266" s="38" t="n"/>
      <c r="AE266" s="38" t="n"/>
      <c r="AF266" s="38" t="n"/>
      <c r="AG266" s="38" t="n"/>
      <c r="AH266" s="38" t="n"/>
      <c r="AI266" s="38" t="n"/>
      <c r="AJ266" s="38" t="n"/>
      <c r="AK266" s="38" t="n"/>
      <c r="AL266" s="38" t="n"/>
      <c r="AM266" s="38" t="n"/>
      <c r="AN266" s="38" t="n"/>
      <c r="AO266" s="25">
        <f>SUM(J266:AN266)</f>
        <v/>
      </c>
      <c r="AQ266" s="25" t="n"/>
      <c r="AR266" s="25" t="n"/>
      <c r="AS266" s="26" t="n"/>
      <c r="AT266" s="27">
        <f>IF(AS266&gt;0, AO266/AS266, "")</f>
        <v/>
      </c>
    </row>
    <row r="267" hidden="1" s="69">
      <c r="A267" s="39" t="n"/>
      <c r="B267" s="40" t="n"/>
      <c r="C267" s="40" t="n"/>
      <c r="D267" s="40" t="n"/>
      <c r="E267" s="40" t="n"/>
      <c r="F267" s="40" t="n"/>
      <c r="G267" s="40" t="n"/>
      <c r="H267" s="40" t="n"/>
      <c r="I267" s="6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  <c r="X267" s="38" t="n"/>
      <c r="Y267" s="38" t="n"/>
      <c r="Z267" s="38" t="n"/>
      <c r="AA267" s="38" t="n"/>
      <c r="AB267" s="38" t="n"/>
      <c r="AC267" s="38" t="n"/>
      <c r="AD267" s="38" t="n"/>
      <c r="AE267" s="38" t="n"/>
      <c r="AF267" s="38" t="n"/>
      <c r="AG267" s="38" t="n"/>
      <c r="AH267" s="38" t="n"/>
      <c r="AI267" s="38" t="n"/>
      <c r="AJ267" s="38" t="n"/>
      <c r="AK267" s="38" t="n"/>
      <c r="AL267" s="38" t="n"/>
      <c r="AM267" s="38" t="n"/>
      <c r="AN267" s="38" t="n"/>
      <c r="AO267" s="25">
        <f>SUM(J267:AN267)</f>
        <v/>
      </c>
      <c r="AQ267" s="25" t="n"/>
      <c r="AR267" s="25" t="n"/>
      <c r="AS267" s="26" t="n"/>
      <c r="AT267" s="27">
        <f>IF(AS267&gt;0, AO267/AS267, "")</f>
        <v/>
      </c>
    </row>
    <row r="268" hidden="1" s="69">
      <c r="A268" s="39" t="n"/>
      <c r="B268" s="40" t="n"/>
      <c r="C268" s="40" t="n"/>
      <c r="D268" s="40" t="n"/>
      <c r="E268" s="40" t="n"/>
      <c r="F268" s="40" t="n"/>
      <c r="G268" s="40" t="n"/>
      <c r="H268" s="40" t="n"/>
      <c r="I268" s="6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  <c r="X268" s="38" t="n"/>
      <c r="Y268" s="38" t="n"/>
      <c r="Z268" s="38" t="n"/>
      <c r="AA268" s="38" t="n"/>
      <c r="AB268" s="38" t="n"/>
      <c r="AC268" s="38" t="n"/>
      <c r="AD268" s="38" t="n"/>
      <c r="AE268" s="38" t="n"/>
      <c r="AF268" s="38" t="n"/>
      <c r="AG268" s="38" t="n"/>
      <c r="AH268" s="38" t="n"/>
      <c r="AI268" s="38" t="n"/>
      <c r="AJ268" s="38" t="n"/>
      <c r="AK268" s="38" t="n"/>
      <c r="AL268" s="38" t="n"/>
      <c r="AM268" s="38" t="n"/>
      <c r="AN268" s="38" t="n"/>
      <c r="AO268" s="25">
        <f>SUM(J268:AN268)</f>
        <v/>
      </c>
      <c r="AQ268" s="25" t="n"/>
      <c r="AR268" s="25" t="n"/>
      <c r="AS268" s="26" t="n"/>
      <c r="AT268" s="27">
        <f>IF(AS268&gt;0, AO268/AS268, "")</f>
        <v/>
      </c>
    </row>
    <row r="269" hidden="1" s="69">
      <c r="A269" s="39" t="n"/>
      <c r="B269" s="40" t="n"/>
      <c r="C269" s="40" t="n"/>
      <c r="D269" s="40" t="n"/>
      <c r="E269" s="40" t="n"/>
      <c r="F269" s="40" t="n"/>
      <c r="G269" s="40" t="n"/>
      <c r="H269" s="40" t="n"/>
      <c r="I269" s="6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  <c r="X269" s="38" t="n"/>
      <c r="Y269" s="38" t="n"/>
      <c r="Z269" s="38" t="n"/>
      <c r="AA269" s="38" t="n"/>
      <c r="AB269" s="38" t="n"/>
      <c r="AC269" s="38" t="n"/>
      <c r="AD269" s="38" t="n"/>
      <c r="AE269" s="38" t="n"/>
      <c r="AF269" s="38" t="n"/>
      <c r="AG269" s="38" t="n"/>
      <c r="AH269" s="38" t="n"/>
      <c r="AI269" s="38" t="n"/>
      <c r="AJ269" s="38" t="n"/>
      <c r="AK269" s="38" t="n"/>
      <c r="AL269" s="38" t="n"/>
      <c r="AM269" s="38" t="n"/>
      <c r="AN269" s="38" t="n"/>
      <c r="AO269" s="25">
        <f>SUM(J269:AN269)</f>
        <v/>
      </c>
      <c r="AQ269" s="25" t="n"/>
      <c r="AR269" s="25" t="n"/>
      <c r="AS269" s="26" t="n"/>
      <c r="AT269" s="27">
        <f>IF(AS269&gt;0, AO269/AS269, "")</f>
        <v/>
      </c>
    </row>
    <row r="270" hidden="1" s="69">
      <c r="A270" s="39" t="n"/>
      <c r="B270" s="40" t="n"/>
      <c r="C270" s="40" t="n"/>
      <c r="D270" s="40" t="n"/>
      <c r="E270" s="40" t="n"/>
      <c r="F270" s="40" t="n"/>
      <c r="G270" s="40" t="n"/>
      <c r="H270" s="40" t="n"/>
      <c r="I270" s="6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  <c r="X270" s="38" t="n"/>
      <c r="Y270" s="38" t="n"/>
      <c r="Z270" s="38" t="n"/>
      <c r="AA270" s="38" t="n"/>
      <c r="AB270" s="38" t="n"/>
      <c r="AC270" s="38" t="n"/>
      <c r="AD270" s="38" t="n"/>
      <c r="AE270" s="38" t="n"/>
      <c r="AF270" s="38" t="n"/>
      <c r="AG270" s="38" t="n"/>
      <c r="AH270" s="38" t="n"/>
      <c r="AI270" s="38" t="n"/>
      <c r="AJ270" s="38" t="n"/>
      <c r="AK270" s="38" t="n"/>
      <c r="AL270" s="38" t="n"/>
      <c r="AM270" s="38" t="n"/>
      <c r="AN270" s="38" t="n"/>
      <c r="AO270" s="25">
        <f>SUM(J270:AN270)</f>
        <v/>
      </c>
      <c r="AQ270" s="25" t="n"/>
      <c r="AR270" s="25" t="n"/>
      <c r="AS270" s="26" t="n"/>
      <c r="AT270" s="27">
        <f>IF(AS270&gt;0, AO270/AS270, "")</f>
        <v/>
      </c>
    </row>
    <row r="271" hidden="1" s="69">
      <c r="A271" s="39" t="n"/>
      <c r="B271" s="40" t="n"/>
      <c r="C271" s="40" t="n"/>
      <c r="D271" s="40" t="n"/>
      <c r="E271" s="40" t="n"/>
      <c r="F271" s="40" t="n"/>
      <c r="G271" s="40" t="n"/>
      <c r="H271" s="40" t="n"/>
      <c r="I271" s="6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  <c r="X271" s="38" t="n"/>
      <c r="Y271" s="38" t="n"/>
      <c r="Z271" s="38" t="n"/>
      <c r="AA271" s="38" t="n"/>
      <c r="AB271" s="38" t="n"/>
      <c r="AC271" s="38" t="n"/>
      <c r="AD271" s="38" t="n"/>
      <c r="AE271" s="38" t="n"/>
      <c r="AF271" s="38" t="n"/>
      <c r="AG271" s="38" t="n"/>
      <c r="AH271" s="38" t="n"/>
      <c r="AI271" s="38" t="n"/>
      <c r="AJ271" s="38" t="n"/>
      <c r="AK271" s="38" t="n"/>
      <c r="AL271" s="38" t="n"/>
      <c r="AM271" s="38" t="n"/>
      <c r="AN271" s="38" t="n"/>
      <c r="AO271" s="25">
        <f>SUM(J271:AN271)</f>
        <v/>
      </c>
      <c r="AQ271" s="25" t="n"/>
      <c r="AR271" s="25" t="n"/>
      <c r="AS271" s="26" t="n"/>
      <c r="AT271" s="27">
        <f>IF(AS271&gt;0, AO271/AS271, "")</f>
        <v/>
      </c>
    </row>
    <row r="272" hidden="1" s="69">
      <c r="A272" s="39" t="n"/>
      <c r="B272" s="40" t="n"/>
      <c r="C272" s="40" t="n"/>
      <c r="D272" s="40" t="n"/>
      <c r="E272" s="40" t="n"/>
      <c r="F272" s="40" t="n"/>
      <c r="G272" s="40" t="n"/>
      <c r="H272" s="40" t="n"/>
      <c r="I272" s="6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  <c r="X272" s="38" t="n"/>
      <c r="Y272" s="38" t="n"/>
      <c r="Z272" s="38" t="n"/>
      <c r="AA272" s="38" t="n"/>
      <c r="AB272" s="38" t="n"/>
      <c r="AC272" s="38" t="n"/>
      <c r="AD272" s="38" t="n"/>
      <c r="AE272" s="38" t="n"/>
      <c r="AF272" s="38" t="n"/>
      <c r="AG272" s="38" t="n"/>
      <c r="AH272" s="38" t="n"/>
      <c r="AI272" s="38" t="n"/>
      <c r="AJ272" s="38" t="n"/>
      <c r="AK272" s="38" t="n"/>
      <c r="AL272" s="38" t="n"/>
      <c r="AM272" s="38" t="n"/>
      <c r="AN272" s="38" t="n"/>
      <c r="AO272" s="25">
        <f>SUM(J272:AN272)</f>
        <v/>
      </c>
      <c r="AQ272" s="25" t="n"/>
      <c r="AR272" s="25" t="n"/>
      <c r="AS272" s="26" t="n"/>
      <c r="AT272" s="27">
        <f>IF(AS272&gt;0, AO272/AS272, "")</f>
        <v/>
      </c>
    </row>
    <row r="273" hidden="1" s="69">
      <c r="A273" s="39" t="n"/>
      <c r="B273" s="40" t="n"/>
      <c r="C273" s="40" t="n"/>
      <c r="D273" s="40" t="n"/>
      <c r="E273" s="40" t="n"/>
      <c r="F273" s="40" t="n"/>
      <c r="G273" s="40" t="n"/>
      <c r="H273" s="40" t="n"/>
      <c r="I273" s="6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  <c r="X273" s="38" t="n"/>
      <c r="Y273" s="38" t="n"/>
      <c r="Z273" s="38" t="n"/>
      <c r="AA273" s="38" t="n"/>
      <c r="AB273" s="38" t="n"/>
      <c r="AC273" s="38" t="n"/>
      <c r="AD273" s="38" t="n"/>
      <c r="AE273" s="38" t="n"/>
      <c r="AF273" s="38" t="n"/>
      <c r="AG273" s="38" t="n"/>
      <c r="AH273" s="38" t="n"/>
      <c r="AI273" s="38" t="n"/>
      <c r="AJ273" s="38" t="n"/>
      <c r="AK273" s="38" t="n"/>
      <c r="AL273" s="38" t="n"/>
      <c r="AM273" s="38" t="n"/>
      <c r="AN273" s="38" t="n"/>
      <c r="AO273" s="25">
        <f>SUM(J273:AN273)</f>
        <v/>
      </c>
      <c r="AQ273" s="25" t="n"/>
      <c r="AR273" s="25" t="n"/>
      <c r="AS273" s="26" t="n"/>
      <c r="AT273" s="27">
        <f>IF(AS273&gt;0, AO273/AS273, "")</f>
        <v/>
      </c>
    </row>
    <row r="274" hidden="1" s="69">
      <c r="A274" s="39" t="n"/>
      <c r="B274" s="40" t="n"/>
      <c r="C274" s="40" t="n"/>
      <c r="D274" s="40" t="n"/>
      <c r="E274" s="40" t="n"/>
      <c r="F274" s="40" t="n"/>
      <c r="G274" s="40" t="n"/>
      <c r="H274" s="40" t="n"/>
      <c r="I274" s="6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  <c r="X274" s="38" t="n"/>
      <c r="Y274" s="38" t="n"/>
      <c r="Z274" s="38" t="n"/>
      <c r="AA274" s="38" t="n"/>
      <c r="AB274" s="38" t="n"/>
      <c r="AC274" s="38" t="n"/>
      <c r="AD274" s="38" t="n"/>
      <c r="AE274" s="38" t="n"/>
      <c r="AF274" s="38" t="n"/>
      <c r="AG274" s="38" t="n"/>
      <c r="AH274" s="38" t="n"/>
      <c r="AI274" s="38" t="n"/>
      <c r="AJ274" s="38" t="n"/>
      <c r="AK274" s="38" t="n"/>
      <c r="AL274" s="38" t="n"/>
      <c r="AM274" s="38" t="n"/>
      <c r="AN274" s="38" t="n"/>
      <c r="AO274" s="25">
        <f>SUM(J274:AN274)</f>
        <v/>
      </c>
      <c r="AQ274" s="25" t="n"/>
      <c r="AR274" s="25" t="n"/>
      <c r="AS274" s="26" t="n"/>
      <c r="AT274" s="27">
        <f>IF(AS274&gt;0, AO274/AS274, "")</f>
        <v/>
      </c>
    </row>
    <row r="275" hidden="1" s="69">
      <c r="A275" s="39" t="n"/>
      <c r="B275" s="40" t="n"/>
      <c r="C275" s="40" t="n"/>
      <c r="D275" s="40" t="n"/>
      <c r="E275" s="40" t="n"/>
      <c r="F275" s="40" t="n"/>
      <c r="G275" s="40" t="n"/>
      <c r="H275" s="40" t="n"/>
      <c r="I275" s="6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  <c r="AA275" s="38" t="n"/>
      <c r="AB275" s="38" t="n"/>
      <c r="AC275" s="38" t="n"/>
      <c r="AD275" s="38" t="n"/>
      <c r="AE275" s="38" t="n"/>
      <c r="AF275" s="38" t="n"/>
      <c r="AG275" s="38" t="n"/>
      <c r="AH275" s="38" t="n"/>
      <c r="AI275" s="38" t="n"/>
      <c r="AJ275" s="38" t="n"/>
      <c r="AK275" s="38" t="n"/>
      <c r="AL275" s="38" t="n"/>
      <c r="AM275" s="38" t="n"/>
      <c r="AN275" s="38" t="n"/>
      <c r="AO275" s="25">
        <f>SUM(J275:AN275)</f>
        <v/>
      </c>
      <c r="AQ275" s="25" t="n"/>
      <c r="AR275" s="25" t="n"/>
      <c r="AS275" s="26" t="n"/>
      <c r="AT275" s="27">
        <f>IF(AS275&gt;0, AO275/AS275, "")</f>
        <v/>
      </c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  <c r="AA276" s="38" t="n"/>
      <c r="AB276" s="38" t="n"/>
      <c r="AC276" s="38" t="n"/>
      <c r="AD276" s="38" t="n"/>
      <c r="AE276" s="38" t="n"/>
      <c r="AF276" s="38" t="n"/>
      <c r="AG276" s="38" t="n"/>
      <c r="AH276" s="38" t="n"/>
      <c r="AI276" s="38" t="n"/>
      <c r="AJ276" s="38" t="n"/>
      <c r="AK276" s="38" t="n"/>
      <c r="AL276" s="38" t="n"/>
      <c r="AM276" s="38" t="n"/>
      <c r="AN276" s="38" t="n"/>
      <c r="AO276" s="38" t="n"/>
      <c r="AQ276" s="38" t="n"/>
      <c r="AR276" s="38" t="n"/>
      <c r="AS276" s="38" t="n"/>
      <c r="AT276" s="38" t="n"/>
    </row>
    <row r="277">
      <c r="A277" s="56" t="inlineStr">
        <is>
          <t>🥸</t>
        </is>
      </c>
      <c r="C277" s="57" t="n"/>
      <c r="D277" s="6" t="n"/>
      <c r="E277" s="6" t="n"/>
      <c r="F277" s="6" t="n"/>
      <c r="G277" s="6" t="n"/>
      <c r="H277" s="6" t="n"/>
      <c r="I277" s="6" t="n"/>
      <c r="J277" s="58" t="inlineStr">
        <is>
          <t>Notes:</t>
        </is>
      </c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  <c r="Z277" s="57" t="n"/>
      <c r="AA277" s="57" t="n"/>
      <c r="AB277" s="57" t="n"/>
      <c r="AC277" s="57" t="n"/>
      <c r="AD277" s="57" t="n"/>
      <c r="AE277" s="57" t="n"/>
      <c r="AF277" s="57" t="n"/>
      <c r="AG277" s="57" t="n"/>
      <c r="AH277" s="57" t="n"/>
      <c r="AI277" s="57" t="n"/>
      <c r="AJ277" s="57" t="n"/>
      <c r="AK277" s="57" t="n"/>
      <c r="AL277" s="57" t="n"/>
      <c r="AM277" s="57" t="n"/>
      <c r="AN277" s="57" t="n"/>
      <c r="AO277" s="59" t="n"/>
      <c r="AP277" s="59" t="n"/>
      <c r="AQ277" s="6" t="n"/>
      <c r="AR277" s="6" t="n"/>
      <c r="AS277" s="6" t="n"/>
      <c r="AT277" s="6" t="n"/>
    </row>
    <row r="278">
      <c r="C278" s="60" t="inlineStr">
        <is>
          <t>Google Sheets Geeks</t>
        </is>
      </c>
      <c r="I278" s="6" t="n"/>
      <c r="J278" s="72" t="inlineStr">
        <is>
          <t>HAPPY HABIT TRACKING AND A HAPPY NEW YEAR, REMEMBER YOU ARE AWESOME, CAPABLE, INTELLIGENT, WORTHY, AND SEXY ❤️ x gracia</t>
        </is>
      </c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  <c r="AD278" s="73" t="n"/>
      <c r="AE278" s="73" t="n"/>
      <c r="AF278" s="73" t="n"/>
      <c r="AG278" s="73" t="n"/>
      <c r="AH278" s="73" t="n"/>
      <c r="AI278" s="73" t="n"/>
      <c r="AJ278" s="73" t="n"/>
      <c r="AK278" s="73" t="n"/>
      <c r="AL278" s="73" t="n"/>
      <c r="AM278" s="73" t="n"/>
      <c r="AN278" s="73" t="n"/>
      <c r="AO278" s="73" t="n"/>
      <c r="AP278" s="73" t="n"/>
      <c r="AQ278" s="74" t="n"/>
      <c r="AR278" s="6" t="n"/>
      <c r="AS278" s="6" t="n"/>
      <c r="AT278" s="6" t="n"/>
    </row>
    <row r="279">
      <c r="A279" s="64" t="n"/>
      <c r="B279" s="64" t="n"/>
      <c r="C279" s="65" t="n"/>
      <c r="D279" s="6" t="n"/>
      <c r="E279" s="6" t="n"/>
      <c r="F279" s="6" t="n"/>
      <c r="G279" s="6" t="n"/>
      <c r="H279" s="6" t="n"/>
      <c r="I279" s="6" t="n"/>
      <c r="J279" s="75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  <c r="AA279" s="76" t="n"/>
      <c r="AB279" s="76" t="n"/>
      <c r="AC279" s="76" t="n"/>
      <c r="AD279" s="76" t="n"/>
      <c r="AE279" s="76" t="n"/>
      <c r="AF279" s="76" t="n"/>
      <c r="AG279" s="76" t="n"/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7" t="n"/>
      <c r="AR279" s="6" t="n"/>
      <c r="AS279" s="6" t="n"/>
      <c r="AT279" s="6" t="n"/>
    </row>
    <row r="280">
      <c r="A280" s="64" t="n"/>
      <c r="B280" s="64" t="n"/>
      <c r="C280" s="65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</row>
  </sheetData>
  <mergeCells count="340">
    <mergeCell ref="AO218:AP218"/>
    <mergeCell ref="AR254:AR255"/>
    <mergeCell ref="AO247:AP247"/>
    <mergeCell ref="AT254:AT255"/>
    <mergeCell ref="AO13:AP13"/>
    <mergeCell ref="AO78:AP78"/>
    <mergeCell ref="AO249:AP249"/>
    <mergeCell ref="AO105:AP105"/>
    <mergeCell ref="AT231:AT232"/>
    <mergeCell ref="AO139:AP140"/>
    <mergeCell ref="AO15:AP15"/>
    <mergeCell ref="AO120:AP120"/>
    <mergeCell ref="B25:H25"/>
    <mergeCell ref="B1:C1"/>
    <mergeCell ref="AO107:AP107"/>
    <mergeCell ref="AO73:AP73"/>
    <mergeCell ref="AO244:AP244"/>
    <mergeCell ref="AO171:AP171"/>
    <mergeCell ref="AO10:AP10"/>
    <mergeCell ref="B231:H231"/>
    <mergeCell ref="AO102:AP102"/>
    <mergeCell ref="AR185:AR186"/>
    <mergeCell ref="AO196:AP196"/>
    <mergeCell ref="A277:B278"/>
    <mergeCell ref="AO133:AP133"/>
    <mergeCell ref="AO198:AP198"/>
    <mergeCell ref="AO254:AP255"/>
    <mergeCell ref="AO99:AP99"/>
    <mergeCell ref="AQ116:AQ117"/>
    <mergeCell ref="AO135:AP135"/>
    <mergeCell ref="AO191:AP191"/>
    <mergeCell ref="AQ208:AQ209"/>
    <mergeCell ref="AO262:AP262"/>
    <mergeCell ref="AO28:AP28"/>
    <mergeCell ref="AO199:AP199"/>
    <mergeCell ref="AQ185:AQ186"/>
    <mergeCell ref="B208:H208"/>
    <mergeCell ref="AO104:AP104"/>
    <mergeCell ref="AO79:AP79"/>
    <mergeCell ref="AO54:AP54"/>
    <mergeCell ref="AO146:AP146"/>
    <mergeCell ref="AO121:AP121"/>
    <mergeCell ref="AO252:AP252"/>
    <mergeCell ref="AO56:AP56"/>
    <mergeCell ref="AS254:AS255"/>
    <mergeCell ref="AO123:AP123"/>
    <mergeCell ref="AO110:AP110"/>
    <mergeCell ref="AO60:AP60"/>
    <mergeCell ref="AS231:AS232"/>
    <mergeCell ref="AO187:AP187"/>
    <mergeCell ref="AO174:AP174"/>
    <mergeCell ref="B94:H94"/>
    <mergeCell ref="AO136:AP136"/>
    <mergeCell ref="AO92:AP92"/>
    <mergeCell ref="AO263:AP263"/>
    <mergeCell ref="AO30:AP30"/>
    <mergeCell ref="AO42:AP42"/>
    <mergeCell ref="AO29:AP29"/>
    <mergeCell ref="AO200:AP200"/>
    <mergeCell ref="AO265:AP265"/>
    <mergeCell ref="AO240:AP240"/>
    <mergeCell ref="AO44:AP44"/>
    <mergeCell ref="AO31:AP31"/>
    <mergeCell ref="AO202:AP202"/>
    <mergeCell ref="AO6:AP6"/>
    <mergeCell ref="AR93:AR94"/>
    <mergeCell ref="AO129:AP129"/>
    <mergeCell ref="AO131:AP131"/>
    <mergeCell ref="AO162:AP163"/>
    <mergeCell ref="B163:H163"/>
    <mergeCell ref="AO149:AP149"/>
    <mergeCell ref="AO220:AP220"/>
    <mergeCell ref="AO195:AP195"/>
    <mergeCell ref="AO189:AP189"/>
    <mergeCell ref="AO93:AP94"/>
    <mergeCell ref="AO213:AP213"/>
    <mergeCell ref="AO126:AP126"/>
    <mergeCell ref="AO271:AP271"/>
    <mergeCell ref="AT70:AT71"/>
    <mergeCell ref="AO50:AP50"/>
    <mergeCell ref="AO142:AP142"/>
    <mergeCell ref="AO273:AP273"/>
    <mergeCell ref="AO52:AP52"/>
    <mergeCell ref="AO144:AP144"/>
    <mergeCell ref="B255:H255"/>
    <mergeCell ref="AO266:AP266"/>
    <mergeCell ref="B24:H24"/>
    <mergeCell ref="AO32:AP32"/>
    <mergeCell ref="AO81:AP81"/>
    <mergeCell ref="AO268:AP268"/>
    <mergeCell ref="AO157:AP157"/>
    <mergeCell ref="AO63:AP63"/>
    <mergeCell ref="AO234:AP234"/>
    <mergeCell ref="AO172:AP172"/>
    <mergeCell ref="AO221:AP221"/>
    <mergeCell ref="AO165:AP165"/>
    <mergeCell ref="AO236:AP236"/>
    <mergeCell ref="AO223:AP223"/>
    <mergeCell ref="B116:H116"/>
    <mergeCell ref="AO69:AP69"/>
    <mergeCell ref="J278:AQ279"/>
    <mergeCell ref="AO134:AP134"/>
    <mergeCell ref="AO170:AP170"/>
    <mergeCell ref="AO53:AP53"/>
    <mergeCell ref="AO145:AP145"/>
    <mergeCell ref="AO216:AP216"/>
    <mergeCell ref="AO210:AP210"/>
    <mergeCell ref="AQ1:AQ2"/>
    <mergeCell ref="B71:H71"/>
    <mergeCell ref="AO38:AP38"/>
    <mergeCell ref="AQ93:AQ94"/>
    <mergeCell ref="AO147:AP147"/>
    <mergeCell ref="AO274:AP274"/>
    <mergeCell ref="AO224:AP224"/>
    <mergeCell ref="AO211:AP211"/>
    <mergeCell ref="B162:H162"/>
    <mergeCell ref="AR231:AR232"/>
    <mergeCell ref="AO8:AP8"/>
    <mergeCell ref="AO173:AP173"/>
    <mergeCell ref="AO100:AP100"/>
    <mergeCell ref="AO66:AP66"/>
    <mergeCell ref="AO115:AP115"/>
    <mergeCell ref="AO237:AP237"/>
    <mergeCell ref="AO231:AP232"/>
    <mergeCell ref="AO158:AP158"/>
    <mergeCell ref="AO229:AP229"/>
    <mergeCell ref="AO3:AP3"/>
    <mergeCell ref="AO264:AP264"/>
    <mergeCell ref="AO68:AP68"/>
    <mergeCell ref="AO239:AP239"/>
    <mergeCell ref="AO95:AP95"/>
    <mergeCell ref="B47:H47"/>
    <mergeCell ref="AS70:AS71"/>
    <mergeCell ref="AO160:AP160"/>
    <mergeCell ref="AS116:AS117"/>
    <mergeCell ref="AO97:AP97"/>
    <mergeCell ref="AS47:AS48"/>
    <mergeCell ref="B48:H48"/>
    <mergeCell ref="AO184:AP184"/>
    <mergeCell ref="AO242:AP242"/>
    <mergeCell ref="AO21:AP21"/>
    <mergeCell ref="AO192:AP192"/>
    <mergeCell ref="AO148:AP148"/>
    <mergeCell ref="AO219:AP219"/>
    <mergeCell ref="AO250:AP250"/>
    <mergeCell ref="AO16:AP16"/>
    <mergeCell ref="B139:H139"/>
    <mergeCell ref="AQ254:AQ255"/>
    <mergeCell ref="B232:H232"/>
    <mergeCell ref="AO74:AP74"/>
    <mergeCell ref="AO179:AP179"/>
    <mergeCell ref="AO245:AP245"/>
    <mergeCell ref="AO39:AP39"/>
    <mergeCell ref="AO166:AP166"/>
    <mergeCell ref="AQ231:AQ232"/>
    <mergeCell ref="AO5:AP5"/>
    <mergeCell ref="B117:H117"/>
    <mergeCell ref="AO103:AP103"/>
    <mergeCell ref="AO230:AP230"/>
    <mergeCell ref="AO168:AP168"/>
    <mergeCell ref="AO9:AP9"/>
    <mergeCell ref="AO180:AP180"/>
    <mergeCell ref="AO118:AP118"/>
    <mergeCell ref="AO167:AP167"/>
    <mergeCell ref="AR70:AR71"/>
    <mergeCell ref="AO194:AP194"/>
    <mergeCell ref="AT24:AT25"/>
    <mergeCell ref="AR116:AR117"/>
    <mergeCell ref="AT116:AT117"/>
    <mergeCell ref="AO87:AP87"/>
    <mergeCell ref="AO258:AP258"/>
    <mergeCell ref="AT47:AT48"/>
    <mergeCell ref="AO37:AP37"/>
    <mergeCell ref="B209:H209"/>
    <mergeCell ref="AO18:AP18"/>
    <mergeCell ref="AO89:AP89"/>
    <mergeCell ref="AO260:AP260"/>
    <mergeCell ref="AO235:AP235"/>
    <mergeCell ref="AO91:AP91"/>
    <mergeCell ref="B140:H140"/>
    <mergeCell ref="AO113:AP113"/>
    <mergeCell ref="AO205:AP205"/>
    <mergeCell ref="AO238:AP238"/>
    <mergeCell ref="AR208:AR209"/>
    <mergeCell ref="AT208:AT209"/>
    <mergeCell ref="AO17:AP17"/>
    <mergeCell ref="AO188:AP188"/>
    <mergeCell ref="AO182:AP182"/>
    <mergeCell ref="AO253:AP253"/>
    <mergeCell ref="AO169:AP169"/>
    <mergeCell ref="AT139:AT140"/>
    <mergeCell ref="AO119:AP119"/>
    <mergeCell ref="AO190:AP190"/>
    <mergeCell ref="AO246:AP246"/>
    <mergeCell ref="AO233:AP233"/>
    <mergeCell ref="AO12:AP12"/>
    <mergeCell ref="AO248:AP248"/>
    <mergeCell ref="AO14:AP14"/>
    <mergeCell ref="AO108:AP108"/>
    <mergeCell ref="AO88:AP88"/>
    <mergeCell ref="AO70:AP71"/>
    <mergeCell ref="AO26:AP26"/>
    <mergeCell ref="AO137:AP137"/>
    <mergeCell ref="AO259:AP259"/>
    <mergeCell ref="AO197:AP197"/>
    <mergeCell ref="AO124:AP124"/>
    <mergeCell ref="AO208:AP209"/>
    <mergeCell ref="AO201:AP201"/>
    <mergeCell ref="AO261:AP261"/>
    <mergeCell ref="AQ24:AQ25"/>
    <mergeCell ref="AO55:AP55"/>
    <mergeCell ref="AS24:AS25"/>
    <mergeCell ref="AO40:AP40"/>
    <mergeCell ref="AO27:AP27"/>
    <mergeCell ref="AO132:AP132"/>
    <mergeCell ref="D1:E1"/>
    <mergeCell ref="B254:H254"/>
    <mergeCell ref="AO45:AP45"/>
    <mergeCell ref="AO272:AP272"/>
    <mergeCell ref="AO20:AP20"/>
    <mergeCell ref="AO256:AP256"/>
    <mergeCell ref="AO112:AP112"/>
    <mergeCell ref="AO84:AP84"/>
    <mergeCell ref="AO122:AP122"/>
    <mergeCell ref="AO22:AP22"/>
    <mergeCell ref="AO193:AP193"/>
    <mergeCell ref="AS208:AS209"/>
    <mergeCell ref="AO47:AP48"/>
    <mergeCell ref="AO64:AP64"/>
    <mergeCell ref="AO51:AP51"/>
    <mergeCell ref="AO109:AP109"/>
    <mergeCell ref="AS1:AS2"/>
    <mergeCell ref="AO138:AP138"/>
    <mergeCell ref="AO76:AP76"/>
    <mergeCell ref="AO203:AP203"/>
    <mergeCell ref="AT185:AT186"/>
    <mergeCell ref="AO267:AP267"/>
    <mergeCell ref="AO77:AP77"/>
    <mergeCell ref="AO33:AP33"/>
    <mergeCell ref="AO204:AP204"/>
    <mergeCell ref="AO269:AP269"/>
    <mergeCell ref="AO43:AP43"/>
    <mergeCell ref="B93:H93"/>
    <mergeCell ref="AO35:AP35"/>
    <mergeCell ref="AO206:AP206"/>
    <mergeCell ref="AO181:AP181"/>
    <mergeCell ref="AS93:AS94"/>
    <mergeCell ref="AS185:AS186"/>
    <mergeCell ref="AO59:AP59"/>
    <mergeCell ref="AQ70:AQ71"/>
    <mergeCell ref="AO46:AP46"/>
    <mergeCell ref="AO257:AP257"/>
    <mergeCell ref="AO61:AP61"/>
    <mergeCell ref="AO153:AP153"/>
    <mergeCell ref="AQ47:AQ48"/>
    <mergeCell ref="AO72:AP72"/>
    <mergeCell ref="AO128:AP128"/>
    <mergeCell ref="AQ139:AQ140"/>
    <mergeCell ref="AO90:AP90"/>
    <mergeCell ref="AO217:AP217"/>
    <mergeCell ref="AO65:AP65"/>
    <mergeCell ref="AR24:AR25"/>
    <mergeCell ref="AO275:AP275"/>
    <mergeCell ref="AO141:AP141"/>
    <mergeCell ref="AO41:AP41"/>
    <mergeCell ref="AO212:AP212"/>
    <mergeCell ref="AR1:AR2"/>
    <mergeCell ref="AT1:AT2"/>
    <mergeCell ref="AO34:AP34"/>
    <mergeCell ref="AO143:AP143"/>
    <mergeCell ref="AO276:AP276"/>
    <mergeCell ref="AO214:AP214"/>
    <mergeCell ref="AO270:AP270"/>
    <mergeCell ref="AO49:AP49"/>
    <mergeCell ref="AO36:AP36"/>
    <mergeCell ref="AO85:AP85"/>
    <mergeCell ref="E2:H2"/>
    <mergeCell ref="B186:H186"/>
    <mergeCell ref="AO207:AP207"/>
    <mergeCell ref="AO222:AP222"/>
    <mergeCell ref="AO67:AP67"/>
    <mergeCell ref="AO159:AP159"/>
    <mergeCell ref="AO80:AP80"/>
    <mergeCell ref="AO96:AP96"/>
    <mergeCell ref="C278:H278"/>
    <mergeCell ref="AR162:AR163"/>
    <mergeCell ref="AO161:AP161"/>
    <mergeCell ref="AO62:AP62"/>
    <mergeCell ref="B185:H185"/>
    <mergeCell ref="AO98:AP98"/>
    <mergeCell ref="AO154:AP154"/>
    <mergeCell ref="AO225:AP225"/>
    <mergeCell ref="AT93:AT94"/>
    <mergeCell ref="AO156:AP156"/>
    <mergeCell ref="AO227:AP227"/>
    <mergeCell ref="AO106:AP106"/>
    <mergeCell ref="AR47:AR48"/>
    <mergeCell ref="AO251:AP251"/>
    <mergeCell ref="AS139:AS140"/>
    <mergeCell ref="AO24:AP25"/>
    <mergeCell ref="AO11:AP11"/>
    <mergeCell ref="AO82:AP82"/>
    <mergeCell ref="AO116:AP117"/>
    <mergeCell ref="AO57:AP57"/>
    <mergeCell ref="AO155:AP155"/>
    <mergeCell ref="AO75:AP75"/>
    <mergeCell ref="AO111:AP111"/>
    <mergeCell ref="AO86:AP86"/>
    <mergeCell ref="AO151:AP151"/>
    <mergeCell ref="AO150:AP150"/>
    <mergeCell ref="AT162:AT163"/>
    <mergeCell ref="AO215:AP215"/>
    <mergeCell ref="B70:H70"/>
    <mergeCell ref="AR139:AR140"/>
    <mergeCell ref="AO4:AP4"/>
    <mergeCell ref="AO175:AP175"/>
    <mergeCell ref="AO177:AP177"/>
    <mergeCell ref="AO226:AP226"/>
    <mergeCell ref="AO164:AP164"/>
    <mergeCell ref="AO176:AP176"/>
    <mergeCell ref="AO114:AP114"/>
    <mergeCell ref="AO241:AP241"/>
    <mergeCell ref="AO228:AP228"/>
    <mergeCell ref="AQ162:AQ163"/>
    <mergeCell ref="AS162:AS163"/>
    <mergeCell ref="AO7:AP7"/>
    <mergeCell ref="AO178:AP178"/>
    <mergeCell ref="AO243:AP243"/>
    <mergeCell ref="AO1:AP2"/>
    <mergeCell ref="AO101:AP101"/>
    <mergeCell ref="AO130:AP130"/>
    <mergeCell ref="AO19:AP19"/>
    <mergeCell ref="AO83:AP83"/>
    <mergeCell ref="AO58:AP58"/>
    <mergeCell ref="AO125:AP125"/>
    <mergeCell ref="AO183:AP183"/>
    <mergeCell ref="AO152:AP152"/>
    <mergeCell ref="AO127:AP127"/>
    <mergeCell ref="B2:D2"/>
    <mergeCell ref="AO185:AP186"/>
  </mergeCells>
  <conditionalFormatting sqref="J3:AN23 J26:J46 J51:J69 J92:AN92 J115:AN115 J138:AN138 J161:AN161 J184:AN184 J207:AN207 J230:AN230 J253:AN253 J276:AN276 K46:AN46 K69:AN69 AO23:AT23">
    <cfRule type="cellIs" priority="1" operator="equal" dxfId="0">
      <formula>"TRUE"</formula>
    </cfRule>
  </conditionalFormatting>
  <conditionalFormatting sqref="J26:AL46 J69:AN69 J92:AN92 J115:AN115 J138:AM138 J161:AN161 J184:AN184 J207:AM207 J230:AN230 J253:AM253 J276:AK276 AM46:AN46">
    <cfRule type="cellIs" priority="2" operator="equal" dxfId="0">
      <formula>"TRUE"</formula>
    </cfRule>
  </conditionalFormatting>
  <conditionalFormatting sqref="J49:AN68">
    <cfRule type="cellIs" priority="3" operator="equal" dxfId="0">
      <formula>"TRUE"</formula>
    </cfRule>
  </conditionalFormatting>
  <conditionalFormatting sqref="J72:AN91">
    <cfRule type="cellIs" priority="4" operator="equal" dxfId="0">
      <formula>"TRUE"</formula>
    </cfRule>
  </conditionalFormatting>
  <conditionalFormatting sqref="J95:AN114">
    <cfRule type="cellIs" priority="5" operator="equal" dxfId="0">
      <formula>"TRUE"</formula>
    </cfRule>
  </conditionalFormatting>
  <conditionalFormatting sqref="J118:AM137">
    <cfRule type="cellIs" priority="6" operator="equal" dxfId="0">
      <formula>"TRUE"</formula>
    </cfRule>
  </conditionalFormatting>
  <conditionalFormatting sqref="J141:AN160">
    <cfRule type="cellIs" priority="7" operator="equal" dxfId="0">
      <formula>"TRUE"</formula>
    </cfRule>
  </conditionalFormatting>
  <conditionalFormatting sqref="J141:AG160 J164:AN183">
    <cfRule type="cellIs" priority="8" operator="equal" dxfId="0">
      <formula>"TRUE"</formula>
    </cfRule>
  </conditionalFormatting>
  <conditionalFormatting sqref="J187:AM206">
    <cfRule type="cellIs" priority="9" operator="equal" dxfId="0">
      <formula>"TRUE"</formula>
    </cfRule>
  </conditionalFormatting>
  <conditionalFormatting sqref="J210:AN229">
    <cfRule type="cellIs" priority="10" operator="equal" dxfId="0">
      <formula>"TRUE"</formula>
    </cfRule>
  </conditionalFormatting>
  <conditionalFormatting sqref="J233:AM252">
    <cfRule type="cellIs" priority="11" operator="equal" dxfId="0">
      <formula>"TRUE"</formula>
    </cfRule>
  </conditionalFormatting>
  <conditionalFormatting sqref="J256:AN275">
    <cfRule type="cellIs" priority="12" operator="equal" dxfId="0">
      <formula>"TRUE"</formula>
    </cfRule>
  </conditionalFormatting>
  <conditionalFormatting sqref="AT3:AT22">
    <cfRule type="cellIs" priority="13" operator="greaterThanOrEqual" dxfId="1">
      <formula>"100%"</formula>
    </cfRule>
  </conditionalFormatting>
  <conditionalFormatting sqref="AT26:AT45 AT49:AT68 AT72:AT91 AT95:AT114 AT118:AT137 AT141:AT160 AT164:AT183 AT187:AT206 AT210:AT229 AT233:AT252 AT256:AT275">
    <cfRule type="cellIs" priority="14" operator="greaterThanOrEqual" dxfId="2">
      <formula>"100%"</formula>
    </cfRule>
  </conditionalFormatting>
  <conditionalFormatting sqref="B4:H262">
    <cfRule type="timePeriod" priority="15" dxfId="3" timePeriod="today"/>
  </conditionalFormatting>
  <conditionalFormatting sqref="J1:AN1">
    <cfRule type="timePeriod" priority="16" dxfId="4" timePeriod="today"/>
  </conditionalFormatting>
  <conditionalFormatting sqref="J24:AM24">
    <cfRule type="timePeriod" priority="17" dxfId="5" timePeriod="today"/>
  </conditionalFormatting>
  <conditionalFormatting sqref="J24 J47:AN47 J70 J93 J116 J139 J162 J185 J208 J231 J254">
    <cfRule type="timePeriod" priority="18" dxfId="4" timePeriod="today"/>
  </conditionalFormatting>
  <conditionalFormatting sqref="J24 J47 J70:AN70 J93 J116 J139 J162 J185 J208 J231 J254">
    <cfRule type="timePeriod" priority="19" dxfId="4" timePeriod="today"/>
  </conditionalFormatting>
  <conditionalFormatting sqref="J93:AN93">
    <cfRule type="timePeriod" priority="20" dxfId="4" timePeriod="today"/>
  </conditionalFormatting>
  <conditionalFormatting sqref="J116:AN116">
    <cfRule type="timePeriod" priority="21" dxfId="4" timePeriod="today"/>
  </conditionalFormatting>
  <conditionalFormatting sqref="J139:AN139">
    <cfRule type="timePeriod" priority="22" dxfId="4" timePeriod="today"/>
  </conditionalFormatting>
  <conditionalFormatting sqref="J162:AN162">
    <cfRule type="timePeriod" priority="23" dxfId="4" timePeriod="today"/>
  </conditionalFormatting>
  <conditionalFormatting sqref="J185:AM185">
    <cfRule type="timePeriod" priority="24" dxfId="4" timePeriod="today"/>
  </conditionalFormatting>
  <conditionalFormatting sqref="J208:AN208">
    <cfRule type="timePeriod" priority="25" dxfId="4" timePeriod="today"/>
  </conditionalFormatting>
  <conditionalFormatting sqref="J231:AM231">
    <cfRule type="timePeriod" priority="26" dxfId="4" timePeriod="today"/>
  </conditionalFormatting>
  <conditionalFormatting sqref="J24:AM24 J47 J70 J93 J116 J139 J162 J185 J208 J231 J254:AN254">
    <cfRule type="timePeriod" priority="27" dxfId="4" timePeriod="today"/>
  </conditionalFormatting>
  <conditionalFormatting sqref="B2:D2">
    <cfRule type="notContainsBlanks" priority="28" dxfId="6">
      <formula>LEN(TRIM(B2))&gt;0</formula>
    </cfRule>
  </conditionalFormatting>
  <dataValidations count="1">
    <dataValidation sqref="E2" showDropDown="0" showInputMessage="0" showErrorMessage="1" allowBlank="1" type="list">
      <formula1>"Sunday,Monday"</formula1>
    </dataValidation>
  </dataValidations>
  <hyperlinks>
    <hyperlink xmlns:r="http://schemas.openxmlformats.org/officeDocument/2006/relationships" ref="C278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key</t>
        </is>
      </c>
      <c r="B1" s="78" t="inlineStr">
        <is>
          <t>value</t>
        </is>
      </c>
    </row>
    <row r="2">
      <c r="A2" s="0" t="inlineStr">
        <is>
          <t>template_version</t>
        </is>
      </c>
      <c r="B2" s="0" t="inlineStr">
        <is>
          <t>2</t>
        </is>
      </c>
    </row>
    <row r="3">
      <c r="A3" s="0" t="inlineStr">
        <is>
          <t>last_sync_at</t>
        </is>
      </c>
    </row>
    <row r="4">
      <c r="A4" s="0" t="inlineStr">
        <is>
          <t>notes</t>
        </is>
      </c>
      <c r="B4" s="0" t="inlineStr">
        <is>
          <t>Template with unified Habits Tracker 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  <col width="12" customWidth="1" style="69" min="6" max="6"/>
    <col width="12" customWidth="1" style="69" min="7" max="7"/>
    <col width="13" customWidth="1" style="69" min="8" max="8"/>
    <col width="15" customWidth="1" style="69" min="9" max="9"/>
    <col width="18" customWidth="1" style="69" min="10" max="10"/>
    <col width="19" customWidth="1" style="69" min="11" max="11"/>
    <col width="12" customWidth="1" style="69" min="12" max="12"/>
  </cols>
  <sheetData>
    <row r="1">
      <c r="A1" s="78" t="inlineStr">
        <is>
          <t>tracker_id</t>
        </is>
      </c>
      <c r="B1" s="78" t="inlineStr">
        <is>
          <t>name</t>
        </is>
      </c>
      <c r="C1" s="78" t="inlineStr">
        <is>
          <t>type</t>
        </is>
      </c>
      <c r="D1" s="78" t="inlineStr">
        <is>
          <t>unit</t>
        </is>
      </c>
      <c r="E1" s="78" t="inlineStr">
        <is>
          <t>xp</t>
        </is>
      </c>
      <c r="F1" s="78" t="inlineStr">
        <is>
          <t>target_day</t>
        </is>
      </c>
      <c r="G1" s="78" t="inlineStr">
        <is>
          <t>active</t>
        </is>
      </c>
      <c r="H1" s="78" t="inlineStr">
        <is>
          <t>streak_mode</t>
        </is>
      </c>
      <c r="I1" s="78" t="inlineStr">
        <is>
          <t>streak_period</t>
        </is>
      </c>
      <c r="J1" s="78" t="inlineStr">
        <is>
          <t>streak_min_value</t>
        </is>
      </c>
      <c r="K1" s="78" t="inlineStr">
        <is>
          <t>streak_partial_ok</t>
        </is>
      </c>
      <c r="L1" s="78" t="inlineStr">
        <is>
          <t>created_at</t>
        </is>
      </c>
    </row>
    <row r="2">
      <c r="A2" s="0" t="n">
        <v>1</v>
      </c>
      <c r="B2" s="0" t="inlineStr">
        <is>
          <t>Медитация</t>
        </is>
      </c>
      <c r="C2" s="0" t="inlineStr">
        <is>
          <t>binary</t>
        </is>
      </c>
      <c r="D2" s="0" t="inlineStr"/>
      <c r="E2" s="0" t="n">
        <v>5</v>
      </c>
      <c r="G2" s="0" t="b">
        <v>1</v>
      </c>
      <c r="H2" s="0" t="inlineStr">
        <is>
          <t>activity</t>
        </is>
      </c>
    </row>
    <row r="3">
      <c r="A3" s="0" t="n">
        <v>2</v>
      </c>
      <c r="B3" s="0" t="inlineStr">
        <is>
          <t>Работа часы</t>
        </is>
      </c>
      <c r="C3" s="0" t="inlineStr">
        <is>
          <t>time</t>
        </is>
      </c>
      <c r="D3" s="0" t="inlineStr"/>
      <c r="E3" s="0" t="n">
        <v>5</v>
      </c>
      <c r="F3" s="0" t="n"/>
      <c r="G3" s="0" t="b">
        <v>1</v>
      </c>
      <c r="H3" s="0" t="inlineStr">
        <is>
          <t>activity</t>
        </is>
      </c>
    </row>
    <row r="4">
      <c r="A4" s="0" t="n">
        <v>3</v>
      </c>
      <c r="B4" s="0" t="inlineStr">
        <is>
          <t>минокс</t>
        </is>
      </c>
      <c r="C4" s="0" t="inlineStr">
        <is>
          <t>count</t>
        </is>
      </c>
      <c r="D4" s="0" t="inlineStr"/>
      <c r="E4" s="0" t="n">
        <v>3</v>
      </c>
      <c r="G4" s="0" t="b">
        <v>1</v>
      </c>
      <c r="H4" s="0" t="inlineStr">
        <is>
          <t>activity</t>
        </is>
      </c>
    </row>
    <row r="5">
      <c r="A5" s="0" t="n">
        <v>4</v>
      </c>
      <c r="B5" s="0" t="inlineStr">
        <is>
          <t>Тренировки</t>
        </is>
      </c>
      <c r="C5" s="0" t="inlineStr">
        <is>
          <t>count</t>
        </is>
      </c>
      <c r="D5" s="0" t="inlineStr"/>
      <c r="E5" s="0" t="n">
        <v>7</v>
      </c>
      <c r="G5" s="0" t="b">
        <v>1</v>
      </c>
      <c r="H5" s="0" t="inlineStr">
        <is>
          <t>goal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</cols>
  <sheetData>
    <row r="1">
      <c r="A1" s="78" t="inlineStr">
        <is>
          <t>tracker_id</t>
        </is>
      </c>
      <c r="B1" s="78" t="inlineStr">
        <is>
          <t>period</t>
        </is>
      </c>
      <c r="C1" s="78" t="inlineStr">
        <is>
          <t>target</t>
        </is>
      </c>
    </row>
    <row r="2">
      <c r="A2" s="0" t="n">
        <v>2</v>
      </c>
      <c r="B2" s="0" t="inlineStr">
        <is>
          <t>week</t>
        </is>
      </c>
      <c r="C2" s="0" t="n">
        <v>35</v>
      </c>
    </row>
    <row r="3">
      <c r="A3" s="0" t="n">
        <v>3</v>
      </c>
      <c r="B3" s="0" t="inlineStr">
        <is>
          <t>week</t>
        </is>
      </c>
      <c r="C3" s="0" t="n">
        <v>7</v>
      </c>
    </row>
    <row r="4">
      <c r="A4" s="0" t="n">
        <v>4</v>
      </c>
      <c r="B4" s="0" t="inlineStr">
        <is>
          <t>week</t>
        </is>
      </c>
      <c r="C4" s="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  <col width="12" customWidth="1" style="69" min="6" max="6"/>
  </cols>
  <sheetData>
    <row r="1">
      <c r="A1" s="78" t="inlineStr">
        <is>
          <t>log_id</t>
        </is>
      </c>
      <c r="B1" s="78" t="inlineStr">
        <is>
          <t>tracker_id</t>
        </is>
      </c>
      <c r="C1" s="78" t="inlineStr">
        <is>
          <t>date</t>
        </is>
      </c>
      <c r="D1" s="78" t="inlineStr">
        <is>
          <t>value</t>
        </is>
      </c>
      <c r="E1" s="78" t="inlineStr">
        <is>
          <t>partial</t>
        </is>
      </c>
      <c r="F1" s="78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</cols>
  <sheetData>
    <row r="1">
      <c r="A1" s="78" t="inlineStr">
        <is>
          <t>date</t>
        </is>
      </c>
      <c r="B1" s="78" t="inlineStr">
        <is>
          <t>text</t>
        </is>
      </c>
      <c r="C1" s="78" t="inlineStr">
        <is>
          <t>status</t>
        </is>
      </c>
      <c r="D1" s="78" t="inlineStr">
        <is>
          <t>done_def</t>
        </is>
      </c>
      <c r="E1" s="78" t="inlineStr">
        <is>
          <t>when_do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date</t>
        </is>
      </c>
      <c r="B1" s="78" t="inlineStr">
        <is>
          <t>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4" customWidth="1" style="69" min="5" max="5"/>
    <col width="12" customWidth="1" style="69" min="6" max="6"/>
    <col width="13" customWidth="1" style="69" min="7" max="7"/>
    <col width="12" customWidth="1" style="69" min="8" max="8"/>
    <col width="12" customWidth="1" style="69" min="9" max="9"/>
    <col width="12" customWidth="1" style="69" min="10" max="10"/>
    <col width="12" customWidth="1" style="69" min="11" max="11"/>
    <col width="13" customWidth="1" style="69" min="12" max="12"/>
    <col width="12" customWidth="1" style="69" min="13" max="13"/>
  </cols>
  <sheetData>
    <row r="1">
      <c r="A1" s="78" t="inlineStr">
        <is>
          <t>date</t>
        </is>
      </c>
      <c r="B1" s="78" t="inlineStr">
        <is>
          <t>tracker_id</t>
        </is>
      </c>
      <c r="C1" s="78" t="inlineStr">
        <is>
          <t>sum_value</t>
        </is>
      </c>
      <c r="D1" s="78" t="inlineStr">
        <is>
          <t>avg_value</t>
        </is>
      </c>
      <c r="E1" s="78" t="inlineStr">
        <is>
          <t>tracker_name</t>
        </is>
      </c>
      <c r="F1" s="78" t="inlineStr">
        <is>
          <t>type</t>
        </is>
      </c>
      <c r="G1" s="78" t="inlineStr">
        <is>
          <t>total_value</t>
        </is>
      </c>
      <c r="H1" s="78" t="inlineStr">
        <is>
          <t>target_day</t>
        </is>
      </c>
      <c r="I1" s="78" t="inlineStr">
        <is>
          <t>unit</t>
        </is>
      </c>
      <c r="J1" s="78" t="inlineStr">
        <is>
          <t>goal_hit</t>
        </is>
      </c>
      <c r="K1" s="78" t="inlineStr">
        <is>
          <t>week_start</t>
        </is>
      </c>
      <c r="L1" s="78" t="inlineStr">
        <is>
          <t>month_start</t>
        </is>
      </c>
      <c r="M1" s="78" t="inlineStr">
        <is>
          <t>year_start</t>
        </is>
      </c>
    </row>
    <row r="2">
      <c r="A2" s="0">
        <f>ARRAYFORMULA(QUERY(raw_tracker_logs!B:D,"select C,B,sum(D),avg(D) where C is not null group by C,B order by C",0))</f>
        <v/>
      </c>
      <c r="E2" s="0">
        <f>ARRAYFORMULA(IF(B2:B&lt;&gt;"",VLOOKUP(B2:B,raw_trackers!A:B,2,FALSE),""))</f>
        <v/>
      </c>
      <c r="F2" s="0">
        <f>ARRAYFORMULA(IF(B2:B&lt;&gt;"",VLOOKUP(B2:B,raw_trackers!A:C,3,FALSE),""))</f>
        <v/>
      </c>
      <c r="G2" s="0">
        <f>ARRAYFORMULA(IF(B2:B&lt;&gt;"",IF(F2:F="scale",D2:D,C2:C),""))</f>
        <v/>
      </c>
      <c r="H2" s="0">
        <f>ARRAYFORMULA(IF(B2:B&lt;&gt;"",VLOOKUP(B2:B,raw_trackers!A:F,6,FALSE),""))</f>
        <v/>
      </c>
      <c r="I2" s="0">
        <f>ARRAYFORMULA(IF(B2:B&lt;&gt;"",VLOOKUP(B2:B,raw_trackers!A:D,4,FALSE),""))</f>
        <v/>
      </c>
      <c r="J2" s="0">
        <f>ARRAYFORMULA(IF(H2:H&lt;&gt;"",IF(G2:G&gt;=H2:H,1,0),""))</f>
        <v/>
      </c>
      <c r="K2" s="0">
        <f>ARRAYFORMULA(IF(A2:A&lt;&gt;"",A2:A-WEEKDAY(A2:A,2)+1,))</f>
        <v/>
      </c>
      <c r="L2" s="0">
        <f>ARRAYFORMULA(IF(A2:A&lt;&gt;"",DATE(YEAR(A2:A),MONTH(A2:A),1),))</f>
        <v/>
      </c>
      <c r="M2" s="0">
        <f>ARRAYFORMULA(IF(A2:A&lt;&gt;"",DATE(YEAR(A2:A),1,1),))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4" customWidth="1" style="69" min="3" max="3"/>
    <col width="12" customWidth="1" style="69" min="4" max="4"/>
    <col width="13" customWidth="1" style="69" min="5" max="5"/>
    <col width="12" customWidth="1" style="69" min="6" max="6"/>
  </cols>
  <sheetData>
    <row r="1">
      <c r="A1" s="78" t="inlineStr">
        <is>
          <t>week_start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target_week</t>
        </is>
      </c>
      <c r="F1" s="78" t="inlineStr">
        <is>
          <t>goal_hit</t>
        </is>
      </c>
    </row>
    <row r="2">
      <c r="A2" s="0">
        <f>ARRAYFORMULA(QUERY({summary_daily!K2:K,summary_daily!B2:B,summary_daily!E2:E,summary_daily!G2:G},"select Col1,Col2,Col3,sum(Col4) where Col1 is not null group by Col1,Col2,Col3 order by Col1",0))</f>
        <v/>
      </c>
      <c r="E2" s="0">
        <f>ARRAYFORMULA(IF(B2:B&lt;&gt;"",IFERROR(VLOOKUP(B2:B&amp;"week",{raw_tracker_goals!A:A&amp;raw_tracker_goals!B:B,raw_tracker_goals!C:C},2,FALSE),""),""))</f>
        <v/>
      </c>
      <c r="F2" s="0">
        <f>ARRAYFORMULA(IF(E2:E&lt;&gt;"",IF(D2:D&gt;=E2:E,1,0),""))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69" min="1" max="1"/>
    <col width="12" customWidth="1" style="69" min="2" max="2"/>
    <col width="14" customWidth="1" style="69" min="3" max="3"/>
    <col width="12" customWidth="1" style="69" min="4" max="4"/>
    <col width="14" customWidth="1" style="69" min="5" max="5"/>
    <col width="12" customWidth="1" style="69" min="6" max="6"/>
  </cols>
  <sheetData>
    <row r="1">
      <c r="A1" s="78" t="inlineStr">
        <is>
          <t>month_start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target_month</t>
        </is>
      </c>
      <c r="F1" s="78" t="inlineStr">
        <is>
          <t>goal_hit</t>
        </is>
      </c>
    </row>
    <row r="2">
      <c r="A2" s="0">
        <f>ARRAYFORMULA(QUERY({summary_daily!L2:L,summary_daily!B2:B,summary_daily!E2:E,summary_daily!G2:G},"select Col1,Col2,Col3,sum(Col4) where Col1 is not null group by Col1,Col2,Col3 order by Col1",0))</f>
        <v/>
      </c>
      <c r="E2" s="0">
        <f>ARRAYFORMULA(IF(B2:B&lt;&gt;"",IFERROR(VLOOKUP(B2:B&amp;"month",{raw_tracker_goals!A:A&amp;raw_tracker_goals!B:B,raw_tracker_goals!C:C},2,FALSE),""),""))</f>
        <v/>
      </c>
      <c r="F2" s="0">
        <f>ARRAYFORMULA(IF(E2:E&lt;&gt;"",IF(D2:D&gt;=E2:E,1,0),""))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4" customWidth="1" style="69" min="3" max="3"/>
    <col width="12" customWidth="1" style="69" min="4" max="4"/>
    <col width="13" customWidth="1" style="69" min="5" max="5"/>
    <col width="12" customWidth="1" style="69" min="6" max="6"/>
  </cols>
  <sheetData>
    <row r="1">
      <c r="A1" s="78" t="inlineStr">
        <is>
          <t>year_start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target_year</t>
        </is>
      </c>
      <c r="F1" s="78" t="inlineStr">
        <is>
          <t>goal_hit</t>
        </is>
      </c>
    </row>
    <row r="2">
      <c r="A2" s="0">
        <f>ARRAYFORMULA(QUERY({summary_daily!M2:M,summary_daily!B2:B,summary_daily!E2:E,summary_daily!G2:G},"select Col1,Col2,Col3,sum(Col4) where Col1 is not null group by Col1,Col2,Col3 order by Col1",0))</f>
        <v/>
      </c>
      <c r="E2" s="0">
        <f>ARRAYFORMULA(IF(B2:B&lt;&gt;"",IFERROR(VLOOKUP(B2:B&amp;"year",{raw_tracker_goals!A:A&amp;raw_tracker_goals!B:B,raw_tracker_goals!C:C},2,FALSE),""),""))</f>
        <v/>
      </c>
      <c r="F2" s="0">
        <f>ARRAYFORMULA(IF(E2:E&lt;&gt;"",IF(D2:D&gt;=E2:E,1,0),""))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tracker_name</t>
        </is>
      </c>
      <c r="B1" s="78">
        <f>IF(B2="","",VLOOKUP(B2,raw_trackers!A:B,2,FALSE))</f>
        <v/>
      </c>
    </row>
    <row r="2">
      <c r="A2" s="0" t="inlineStr">
        <is>
          <t>tracker_id</t>
        </is>
      </c>
    </row>
    <row r="3">
      <c r="A3" s="0" t="inlineStr">
        <is>
          <t>period</t>
        </is>
      </c>
      <c r="B3" s="0" t="inlineStr">
        <is>
          <t>day</t>
        </is>
      </c>
    </row>
    <row r="4"/>
    <row r="5">
      <c r="A5" s="78" t="inlineStr">
        <is>
          <t>daily_date</t>
        </is>
      </c>
      <c r="B5" s="78" t="inlineStr">
        <is>
          <t>daily_total</t>
        </is>
      </c>
      <c r="D5" s="78" t="inlineStr">
        <is>
          <t>week_start</t>
        </is>
      </c>
      <c r="E5" s="78" t="inlineStr">
        <is>
          <t>weekly_total</t>
        </is>
      </c>
      <c r="G5" s="78" t="inlineStr">
        <is>
          <t>month_start</t>
        </is>
      </c>
      <c r="H5" s="78" t="inlineStr">
        <is>
          <t>monthly_total</t>
        </is>
      </c>
      <c r="J5" s="78" t="inlineStr">
        <is>
          <t>year_start</t>
        </is>
      </c>
      <c r="K5" s="78" t="inlineStr">
        <is>
          <t>yearly_total</t>
        </is>
      </c>
    </row>
    <row r="6">
      <c r="A6" s="0">
        <f>FILTER({summary_daily!A:A,summary_daily!G:G},summary_daily!B:B=$B$2)</f>
        <v/>
      </c>
      <c r="D6" s="0">
        <f>FILTER({summary_weekly!A:A,summary_weekly!D:D},summary_weekly!B:B=$B$2)</f>
        <v/>
      </c>
      <c r="G6" s="0">
        <f>FILTER({summary_monthly!A:A,summary_monthly!D:D},summary_monthly!B:B=$B$2)</f>
        <v/>
      </c>
      <c r="J6" s="0">
        <f>FILTER({summary_yearly!A:A,summary_yearly!D:D},summary_yearly!B:B=$B$2)</f>
        <v/>
      </c>
    </row>
  </sheetData>
  <dataValidations count="1">
    <dataValidation sqref="B2" showDropDown="0" showInputMessage="0" showErrorMessage="0" allowBlank="1" type="list">
      <formula1>=raw_trackers!$A:$A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2026-01-14T06:42:10Z</dcterms:created>
  <dcterms:modified xsi:type="dcterms:W3CDTF">2026-01-14T11:13:19Z</dcterms:modified>
</cp:coreProperties>
</file>